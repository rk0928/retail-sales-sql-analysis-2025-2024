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30"/>
  <workbookPr defaultThemeVersion="166925"/>
  <xr:revisionPtr revIDLastSave="0" documentId="8_{F3920A46-8F74-0E4C-A69F-311CDE931A1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25-24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2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H2" i="3"/>
  <c r="I2" i="3"/>
  <c r="J2" i="3"/>
  <c r="C367" i="3"/>
  <c r="D367" i="3"/>
  <c r="E366" i="3"/>
  <c r="B366" i="3"/>
  <c r="E365" i="3"/>
  <c r="B365" i="3"/>
  <c r="E364" i="3"/>
  <c r="B364" i="3"/>
  <c r="E363" i="3"/>
  <c r="B363" i="3"/>
  <c r="E362" i="3"/>
  <c r="B362" i="3"/>
  <c r="E361" i="3"/>
  <c r="B361" i="3"/>
  <c r="E360" i="3"/>
  <c r="B360" i="3"/>
  <c r="E359" i="3"/>
  <c r="B359" i="3"/>
  <c r="E358" i="3"/>
  <c r="B358" i="3"/>
  <c r="E357" i="3"/>
  <c r="B357" i="3"/>
  <c r="E356" i="3"/>
  <c r="B356" i="3"/>
  <c r="E355" i="3"/>
  <c r="B355" i="3"/>
  <c r="E354" i="3"/>
  <c r="B354" i="3"/>
  <c r="E353" i="3"/>
  <c r="B353" i="3"/>
  <c r="E352" i="3"/>
  <c r="B352" i="3"/>
  <c r="E351" i="3"/>
  <c r="B351" i="3"/>
  <c r="E350" i="3"/>
  <c r="B350" i="3"/>
  <c r="E349" i="3"/>
  <c r="B349" i="3"/>
  <c r="E348" i="3"/>
  <c r="B348" i="3"/>
  <c r="E347" i="3"/>
  <c r="B347" i="3"/>
  <c r="E346" i="3"/>
  <c r="B346" i="3"/>
  <c r="E345" i="3"/>
  <c r="B345" i="3"/>
  <c r="E344" i="3"/>
  <c r="B344" i="3"/>
  <c r="E343" i="3"/>
  <c r="B343" i="3"/>
  <c r="E342" i="3"/>
  <c r="B342" i="3"/>
  <c r="E341" i="3"/>
  <c r="B341" i="3"/>
  <c r="E340" i="3"/>
  <c r="B340" i="3"/>
  <c r="E339" i="3"/>
  <c r="B339" i="3"/>
  <c r="E338" i="3"/>
  <c r="B338" i="3"/>
  <c r="E337" i="3"/>
  <c r="B337" i="3"/>
  <c r="E336" i="3"/>
  <c r="B336" i="3"/>
  <c r="E335" i="3"/>
  <c r="B335" i="3"/>
  <c r="E334" i="3"/>
  <c r="B334" i="3"/>
  <c r="E333" i="3"/>
  <c r="B333" i="3"/>
  <c r="E332" i="3"/>
  <c r="B332" i="3"/>
  <c r="E331" i="3"/>
  <c r="B331" i="3"/>
  <c r="E330" i="3"/>
  <c r="B330" i="3"/>
  <c r="E329" i="3"/>
  <c r="B329" i="3"/>
  <c r="E328" i="3"/>
  <c r="B328" i="3"/>
  <c r="E327" i="3"/>
  <c r="B327" i="3"/>
  <c r="E326" i="3"/>
  <c r="B326" i="3"/>
  <c r="E325" i="3"/>
  <c r="B325" i="3"/>
  <c r="E324" i="3"/>
  <c r="B324" i="3"/>
  <c r="E323" i="3"/>
  <c r="B323" i="3"/>
  <c r="E322" i="3"/>
  <c r="B322" i="3"/>
  <c r="E321" i="3"/>
  <c r="B321" i="3"/>
  <c r="E320" i="3"/>
  <c r="B320" i="3"/>
  <c r="E319" i="3"/>
  <c r="B319" i="3"/>
  <c r="E318" i="3"/>
  <c r="B318" i="3"/>
  <c r="E317" i="3"/>
  <c r="B317" i="3"/>
  <c r="E316" i="3"/>
  <c r="B316" i="3"/>
  <c r="E315" i="3"/>
  <c r="B315" i="3"/>
  <c r="E314" i="3"/>
  <c r="B314" i="3"/>
  <c r="E313" i="3"/>
  <c r="B313" i="3"/>
  <c r="E312" i="3"/>
  <c r="B312" i="3"/>
  <c r="E311" i="3"/>
  <c r="B311" i="3"/>
  <c r="E310" i="3"/>
  <c r="B310" i="3"/>
  <c r="E309" i="3"/>
  <c r="B309" i="3"/>
  <c r="E308" i="3"/>
  <c r="B308" i="3"/>
  <c r="E307" i="3"/>
  <c r="B307" i="3"/>
  <c r="E306" i="3"/>
  <c r="B306" i="3"/>
  <c r="E305" i="3"/>
  <c r="B305" i="3"/>
  <c r="E304" i="3"/>
  <c r="B304" i="3"/>
  <c r="E303" i="3"/>
  <c r="B303" i="3"/>
  <c r="E302" i="3"/>
  <c r="B302" i="3"/>
  <c r="E301" i="3"/>
  <c r="B301" i="3"/>
  <c r="E300" i="3"/>
  <c r="B300" i="3"/>
  <c r="E299" i="3"/>
  <c r="B299" i="3"/>
  <c r="E298" i="3"/>
  <c r="B298" i="3"/>
  <c r="E297" i="3"/>
  <c r="B297" i="3"/>
  <c r="E296" i="3"/>
  <c r="B296" i="3"/>
  <c r="E295" i="3"/>
  <c r="B295" i="3"/>
  <c r="E294" i="3"/>
  <c r="B294" i="3"/>
  <c r="E293" i="3"/>
  <c r="B293" i="3"/>
  <c r="E292" i="3"/>
  <c r="B292" i="3"/>
  <c r="E291" i="3"/>
  <c r="B291" i="3"/>
  <c r="E290" i="3"/>
  <c r="B290" i="3"/>
  <c r="E289" i="3"/>
  <c r="B289" i="3"/>
  <c r="E288" i="3"/>
  <c r="B288" i="3"/>
  <c r="E287" i="3"/>
  <c r="B287" i="3"/>
  <c r="E286" i="3"/>
  <c r="B286" i="3"/>
  <c r="E285" i="3"/>
  <c r="B285" i="3"/>
  <c r="E284" i="3"/>
  <c r="B284" i="3"/>
  <c r="E283" i="3"/>
  <c r="B283" i="3"/>
  <c r="E282" i="3"/>
  <c r="B282" i="3"/>
  <c r="E281" i="3"/>
  <c r="B281" i="3"/>
  <c r="E280" i="3"/>
  <c r="B280" i="3"/>
  <c r="E279" i="3"/>
  <c r="B279" i="3"/>
  <c r="E278" i="3"/>
  <c r="B278" i="3"/>
  <c r="E277" i="3"/>
  <c r="B277" i="3"/>
  <c r="E276" i="3"/>
  <c r="B276" i="3"/>
  <c r="E275" i="3"/>
  <c r="B275" i="3"/>
  <c r="E274" i="3"/>
  <c r="B274" i="3"/>
  <c r="E273" i="3"/>
  <c r="B273" i="3"/>
  <c r="E272" i="3"/>
  <c r="B272" i="3"/>
  <c r="E271" i="3"/>
  <c r="B271" i="3"/>
  <c r="E270" i="3"/>
  <c r="B270" i="3"/>
  <c r="E269" i="3"/>
  <c r="B269" i="3"/>
  <c r="E268" i="3"/>
  <c r="B268" i="3"/>
  <c r="E267" i="3"/>
  <c r="B267" i="3"/>
  <c r="E266" i="3"/>
  <c r="B266" i="3"/>
  <c r="E265" i="3"/>
  <c r="B265" i="3"/>
  <c r="E264" i="3"/>
  <c r="B264" i="3"/>
  <c r="E263" i="3"/>
  <c r="B263" i="3"/>
  <c r="E262" i="3"/>
  <c r="B262" i="3"/>
  <c r="E261" i="3"/>
  <c r="B261" i="3"/>
  <c r="E260" i="3"/>
  <c r="B260" i="3"/>
  <c r="E259" i="3"/>
  <c r="B259" i="3"/>
  <c r="E258" i="3"/>
  <c r="B258" i="3"/>
  <c r="E257" i="3"/>
  <c r="B257" i="3"/>
  <c r="E256" i="3"/>
  <c r="B256" i="3"/>
  <c r="E255" i="3"/>
  <c r="B255" i="3"/>
  <c r="E254" i="3"/>
  <c r="B254" i="3"/>
  <c r="E253" i="3"/>
  <c r="B253" i="3"/>
  <c r="E252" i="3"/>
  <c r="B252" i="3"/>
  <c r="E251" i="3"/>
  <c r="B251" i="3"/>
  <c r="E250" i="3"/>
  <c r="B250" i="3"/>
  <c r="E249" i="3"/>
  <c r="B249" i="3"/>
  <c r="E248" i="3"/>
  <c r="B248" i="3"/>
  <c r="E247" i="3"/>
  <c r="B247" i="3"/>
  <c r="E246" i="3"/>
  <c r="B246" i="3"/>
  <c r="E245" i="3"/>
  <c r="B245" i="3"/>
  <c r="E244" i="3"/>
  <c r="B244" i="3"/>
  <c r="E243" i="3"/>
  <c r="B243" i="3"/>
  <c r="E242" i="3"/>
  <c r="B242" i="3"/>
  <c r="E241" i="3"/>
  <c r="B241" i="3"/>
  <c r="E240" i="3"/>
  <c r="B240" i="3"/>
  <c r="E239" i="3"/>
  <c r="B239" i="3"/>
  <c r="E238" i="3"/>
  <c r="B238" i="3"/>
  <c r="E237" i="3"/>
  <c r="B237" i="3"/>
  <c r="E236" i="3"/>
  <c r="B236" i="3"/>
  <c r="E235" i="3"/>
  <c r="B235" i="3"/>
  <c r="E234" i="3"/>
  <c r="B234" i="3"/>
  <c r="E233" i="3"/>
  <c r="B233" i="3"/>
  <c r="E232" i="3"/>
  <c r="B232" i="3"/>
  <c r="E231" i="3"/>
  <c r="B231" i="3"/>
  <c r="E230" i="3"/>
  <c r="B230" i="3"/>
  <c r="E229" i="3"/>
  <c r="B229" i="3"/>
  <c r="E228" i="3"/>
  <c r="B228" i="3"/>
  <c r="E227" i="3"/>
  <c r="B227" i="3"/>
  <c r="E226" i="3"/>
  <c r="B226" i="3"/>
  <c r="E225" i="3"/>
  <c r="B225" i="3"/>
  <c r="E224" i="3"/>
  <c r="B224" i="3"/>
  <c r="E223" i="3"/>
  <c r="B223" i="3"/>
  <c r="E222" i="3"/>
  <c r="B222" i="3"/>
  <c r="E221" i="3"/>
  <c r="B221" i="3"/>
  <c r="E220" i="3"/>
  <c r="B220" i="3"/>
  <c r="E219" i="3"/>
  <c r="B219" i="3"/>
  <c r="E218" i="3"/>
  <c r="B218" i="3"/>
  <c r="E217" i="3"/>
  <c r="B217" i="3"/>
  <c r="E216" i="3"/>
  <c r="B216" i="3"/>
  <c r="E215" i="3"/>
  <c r="B215" i="3"/>
  <c r="E214" i="3"/>
  <c r="B214" i="3"/>
  <c r="E213" i="3"/>
  <c r="B213" i="3"/>
  <c r="E212" i="3"/>
  <c r="B212" i="3"/>
  <c r="E211" i="3"/>
  <c r="B211" i="3"/>
  <c r="E210" i="3"/>
  <c r="B210" i="3"/>
  <c r="E209" i="3"/>
  <c r="B209" i="3"/>
  <c r="E208" i="3"/>
  <c r="B208" i="3"/>
  <c r="E207" i="3"/>
  <c r="B207" i="3"/>
  <c r="E206" i="3"/>
  <c r="B206" i="3"/>
  <c r="E205" i="3"/>
  <c r="B205" i="3"/>
  <c r="E204" i="3"/>
  <c r="B204" i="3"/>
  <c r="E203" i="3"/>
  <c r="B203" i="3"/>
  <c r="E202" i="3"/>
  <c r="B202" i="3"/>
  <c r="E201" i="3"/>
  <c r="B201" i="3"/>
  <c r="E200" i="3"/>
  <c r="B200" i="3"/>
  <c r="E199" i="3"/>
  <c r="B199" i="3"/>
  <c r="E198" i="3"/>
  <c r="B198" i="3"/>
  <c r="E197" i="3"/>
  <c r="B197" i="3"/>
  <c r="E196" i="3"/>
  <c r="B196" i="3"/>
  <c r="E195" i="3"/>
  <c r="B195" i="3"/>
  <c r="E194" i="3"/>
  <c r="B194" i="3"/>
  <c r="E193" i="3"/>
  <c r="B193" i="3"/>
  <c r="E192" i="3"/>
  <c r="B192" i="3"/>
  <c r="E191" i="3"/>
  <c r="B191" i="3"/>
  <c r="E190" i="3"/>
  <c r="B190" i="3"/>
  <c r="E189" i="3"/>
  <c r="B189" i="3"/>
  <c r="E188" i="3"/>
  <c r="B188" i="3"/>
  <c r="E187" i="3"/>
  <c r="B187" i="3"/>
  <c r="E186" i="3"/>
  <c r="B186" i="3"/>
  <c r="E185" i="3"/>
  <c r="B185" i="3"/>
  <c r="E184" i="3"/>
  <c r="B184" i="3"/>
  <c r="E183" i="3"/>
  <c r="B183" i="3"/>
  <c r="E182" i="3"/>
  <c r="B182" i="3"/>
  <c r="E181" i="3"/>
  <c r="B181" i="3"/>
  <c r="E180" i="3"/>
  <c r="B180" i="3"/>
  <c r="E179" i="3"/>
  <c r="B179" i="3"/>
  <c r="E178" i="3"/>
  <c r="B178" i="3"/>
  <c r="E177" i="3"/>
  <c r="B177" i="3"/>
  <c r="E176" i="3"/>
  <c r="B176" i="3"/>
  <c r="E175" i="3"/>
  <c r="B175" i="3"/>
  <c r="E174" i="3"/>
  <c r="B174" i="3"/>
  <c r="E173" i="3"/>
  <c r="B173" i="3"/>
  <c r="E172" i="3"/>
  <c r="B172" i="3"/>
  <c r="E171" i="3"/>
  <c r="B171" i="3"/>
  <c r="E170" i="3"/>
  <c r="B170" i="3"/>
  <c r="E169" i="3"/>
  <c r="B169" i="3"/>
  <c r="E168" i="3"/>
  <c r="B168" i="3"/>
  <c r="E167" i="3"/>
  <c r="B167" i="3"/>
  <c r="E166" i="3"/>
  <c r="B166" i="3"/>
  <c r="E165" i="3"/>
  <c r="B165" i="3"/>
  <c r="E164" i="3"/>
  <c r="B164" i="3"/>
  <c r="E163" i="3"/>
  <c r="B163" i="3"/>
  <c r="E162" i="3"/>
  <c r="B162" i="3"/>
  <c r="E161" i="3"/>
  <c r="B161" i="3"/>
  <c r="E160" i="3"/>
  <c r="B160" i="3"/>
  <c r="E159" i="3"/>
  <c r="B159" i="3"/>
  <c r="E158" i="3"/>
  <c r="B158" i="3"/>
  <c r="E157" i="3"/>
  <c r="B157" i="3"/>
  <c r="E156" i="3"/>
  <c r="B156" i="3"/>
  <c r="E155" i="3"/>
  <c r="B155" i="3"/>
  <c r="E154" i="3"/>
  <c r="B154" i="3"/>
  <c r="E153" i="3"/>
  <c r="B153" i="3"/>
  <c r="E152" i="3"/>
  <c r="B152" i="3"/>
  <c r="E151" i="3"/>
  <c r="B151" i="3"/>
  <c r="E150" i="3"/>
  <c r="B150" i="3"/>
  <c r="E149" i="3"/>
  <c r="B149" i="3"/>
  <c r="E148" i="3"/>
  <c r="B148" i="3"/>
  <c r="E147" i="3"/>
  <c r="B147" i="3"/>
  <c r="E146" i="3"/>
  <c r="B146" i="3"/>
  <c r="E145" i="3"/>
  <c r="B145" i="3"/>
  <c r="E144" i="3"/>
  <c r="B144" i="3"/>
  <c r="E143" i="3"/>
  <c r="B143" i="3"/>
  <c r="E142" i="3"/>
  <c r="B142" i="3"/>
  <c r="E141" i="3"/>
  <c r="B141" i="3"/>
  <c r="E140" i="3"/>
  <c r="B140" i="3"/>
  <c r="E139" i="3"/>
  <c r="B139" i="3"/>
  <c r="E138" i="3"/>
  <c r="B138" i="3"/>
  <c r="E137" i="3"/>
  <c r="B137" i="3"/>
  <c r="E136" i="3"/>
  <c r="B136" i="3"/>
  <c r="E135" i="3"/>
  <c r="B135" i="3"/>
  <c r="E134" i="3"/>
  <c r="B134" i="3"/>
  <c r="E133" i="3"/>
  <c r="B133" i="3"/>
  <c r="E132" i="3"/>
  <c r="B132" i="3"/>
  <c r="E131" i="3"/>
  <c r="B131" i="3"/>
  <c r="E130" i="3"/>
  <c r="B130" i="3"/>
  <c r="E129" i="3"/>
  <c r="B129" i="3"/>
  <c r="E128" i="3"/>
  <c r="B128" i="3"/>
  <c r="E127" i="3"/>
  <c r="B127" i="3"/>
  <c r="E126" i="3"/>
  <c r="B126" i="3"/>
  <c r="E125" i="3"/>
  <c r="B125" i="3"/>
  <c r="E124" i="3"/>
  <c r="B124" i="3"/>
  <c r="E123" i="3"/>
  <c r="B123" i="3"/>
  <c r="E122" i="3"/>
  <c r="B122" i="3"/>
  <c r="E121" i="3"/>
  <c r="B121" i="3"/>
  <c r="E120" i="3"/>
  <c r="B120" i="3"/>
  <c r="E119" i="3"/>
  <c r="B119" i="3"/>
  <c r="E118" i="3"/>
  <c r="B118" i="3"/>
  <c r="E117" i="3"/>
  <c r="B117" i="3"/>
  <c r="E116" i="3"/>
  <c r="B116" i="3"/>
  <c r="E115" i="3"/>
  <c r="B115" i="3"/>
  <c r="E114" i="3"/>
  <c r="B114" i="3"/>
  <c r="E113" i="3"/>
  <c r="B113" i="3"/>
  <c r="E112" i="3"/>
  <c r="B112" i="3"/>
  <c r="E111" i="3"/>
  <c r="B111" i="3"/>
  <c r="E110" i="3"/>
  <c r="B110" i="3"/>
  <c r="E109" i="3"/>
  <c r="B109" i="3"/>
  <c r="E108" i="3"/>
  <c r="B108" i="3"/>
  <c r="E107" i="3"/>
  <c r="B107" i="3"/>
  <c r="E106" i="3"/>
  <c r="B106" i="3"/>
  <c r="E105" i="3"/>
  <c r="B105" i="3"/>
  <c r="E104" i="3"/>
  <c r="B104" i="3"/>
  <c r="E103" i="3"/>
  <c r="B103" i="3"/>
  <c r="E102" i="3"/>
  <c r="B102" i="3"/>
  <c r="E101" i="3"/>
  <c r="B101" i="3"/>
  <c r="E100" i="3"/>
  <c r="B100" i="3"/>
  <c r="E99" i="3"/>
  <c r="B99" i="3"/>
  <c r="E98" i="3"/>
  <c r="B98" i="3"/>
  <c r="E97" i="3"/>
  <c r="B97" i="3"/>
  <c r="E96" i="3"/>
  <c r="B96" i="3"/>
  <c r="E95" i="3"/>
  <c r="B95" i="3"/>
  <c r="E94" i="3"/>
  <c r="B94" i="3"/>
  <c r="E93" i="3"/>
  <c r="B93" i="3"/>
  <c r="E92" i="3"/>
  <c r="B92" i="3"/>
  <c r="E91" i="3"/>
  <c r="B91" i="3"/>
  <c r="E90" i="3"/>
  <c r="B90" i="3"/>
  <c r="E89" i="3"/>
  <c r="B89" i="3"/>
  <c r="E88" i="3"/>
  <c r="B88" i="3"/>
  <c r="E87" i="3"/>
  <c r="B87" i="3"/>
  <c r="E86" i="3"/>
  <c r="B86" i="3"/>
  <c r="E85" i="3"/>
  <c r="B85" i="3"/>
  <c r="E84" i="3"/>
  <c r="B84" i="3"/>
  <c r="E83" i="3"/>
  <c r="B83" i="3"/>
  <c r="E82" i="3"/>
  <c r="B82" i="3"/>
  <c r="E81" i="3"/>
  <c r="B81" i="3"/>
  <c r="E80" i="3"/>
  <c r="B80" i="3"/>
  <c r="E79" i="3"/>
  <c r="B79" i="3"/>
  <c r="E78" i="3"/>
  <c r="B78" i="3"/>
  <c r="E77" i="3"/>
  <c r="B77" i="3"/>
  <c r="E76" i="3"/>
  <c r="B76" i="3"/>
  <c r="E75" i="3"/>
  <c r="B75" i="3"/>
  <c r="E74" i="3"/>
  <c r="B74" i="3"/>
  <c r="E73" i="3"/>
  <c r="B73" i="3"/>
  <c r="E72" i="3"/>
  <c r="B72" i="3"/>
  <c r="E71" i="3"/>
  <c r="B71" i="3"/>
  <c r="E70" i="3"/>
  <c r="B70" i="3"/>
  <c r="E69" i="3"/>
  <c r="B69" i="3"/>
  <c r="E68" i="3"/>
  <c r="B68" i="3"/>
  <c r="E67" i="3"/>
  <c r="B67" i="3"/>
  <c r="E66" i="3"/>
  <c r="B66" i="3"/>
  <c r="E65" i="3"/>
  <c r="B65" i="3"/>
  <c r="E64" i="3"/>
  <c r="B64" i="3"/>
  <c r="E63" i="3"/>
  <c r="B63" i="3"/>
  <c r="E62" i="3"/>
  <c r="B62" i="3"/>
  <c r="E61" i="3"/>
  <c r="B61" i="3"/>
  <c r="E60" i="3"/>
  <c r="B60" i="3"/>
  <c r="E59" i="3"/>
  <c r="B59" i="3"/>
  <c r="E58" i="3"/>
  <c r="B58" i="3"/>
  <c r="E57" i="3"/>
  <c r="B57" i="3"/>
  <c r="E56" i="3"/>
  <c r="B56" i="3"/>
  <c r="E55" i="3"/>
  <c r="B55" i="3"/>
  <c r="E54" i="3"/>
  <c r="B54" i="3"/>
  <c r="E53" i="3"/>
  <c r="B53" i="3"/>
  <c r="E52" i="3"/>
  <c r="B52" i="3"/>
  <c r="E51" i="3"/>
  <c r="B51" i="3"/>
  <c r="E50" i="3"/>
  <c r="B50" i="3"/>
  <c r="E49" i="3"/>
  <c r="B49" i="3"/>
  <c r="E48" i="3"/>
  <c r="B48" i="3"/>
  <c r="E47" i="3"/>
  <c r="B47" i="3"/>
  <c r="E46" i="3"/>
  <c r="B46" i="3"/>
  <c r="E45" i="3"/>
  <c r="B45" i="3"/>
  <c r="E44" i="3"/>
  <c r="B44" i="3"/>
  <c r="E43" i="3"/>
  <c r="B43" i="3"/>
  <c r="E42" i="3"/>
  <c r="B42" i="3"/>
  <c r="E41" i="3"/>
  <c r="B41" i="3"/>
  <c r="E40" i="3"/>
  <c r="B40" i="3"/>
  <c r="E39" i="3"/>
  <c r="B39" i="3"/>
  <c r="E38" i="3"/>
  <c r="B38" i="3"/>
  <c r="E37" i="3"/>
  <c r="B37" i="3"/>
  <c r="E36" i="3"/>
  <c r="B36" i="3"/>
  <c r="E35" i="3"/>
  <c r="B35" i="3"/>
  <c r="E34" i="3"/>
  <c r="B34" i="3"/>
  <c r="E33" i="3"/>
  <c r="B33" i="3"/>
  <c r="E32" i="3"/>
  <c r="B32" i="3"/>
  <c r="E31" i="3"/>
  <c r="B31" i="3"/>
  <c r="E30" i="3"/>
  <c r="B30" i="3"/>
  <c r="E29" i="3"/>
  <c r="B29" i="3"/>
  <c r="E28" i="3"/>
  <c r="B28" i="3"/>
  <c r="E27" i="3"/>
  <c r="B27" i="3"/>
  <c r="E26" i="3"/>
  <c r="B26" i="3"/>
  <c r="E25" i="3"/>
  <c r="B25" i="3"/>
  <c r="E24" i="3"/>
  <c r="B24" i="3"/>
  <c r="E23" i="3"/>
  <c r="B23" i="3"/>
  <c r="E22" i="3"/>
  <c r="B22" i="3"/>
  <c r="E21" i="3"/>
  <c r="B21" i="3"/>
  <c r="E20" i="3"/>
  <c r="B20" i="3"/>
  <c r="E19" i="3"/>
  <c r="B19" i="3"/>
  <c r="E18" i="3"/>
  <c r="B18" i="3"/>
  <c r="E17" i="3"/>
  <c r="B17" i="3"/>
  <c r="E16" i="3"/>
  <c r="B16" i="3"/>
  <c r="E15" i="3"/>
  <c r="B15" i="3"/>
  <c r="E14" i="3"/>
  <c r="B14" i="3"/>
  <c r="E13" i="3"/>
  <c r="B13" i="3"/>
  <c r="E12" i="3"/>
  <c r="B12" i="3"/>
  <c r="E11" i="3"/>
  <c r="B11" i="3"/>
  <c r="E10" i="3"/>
  <c r="B10" i="3"/>
  <c r="E9" i="3"/>
  <c r="B9" i="3"/>
  <c r="E8" i="3"/>
  <c r="B8" i="3"/>
  <c r="E7" i="3"/>
  <c r="B7" i="3"/>
  <c r="E6" i="3"/>
  <c r="B6" i="3"/>
  <c r="E5" i="3"/>
  <c r="B5" i="3"/>
  <c r="E4" i="3"/>
  <c r="B4" i="3"/>
  <c r="E3" i="3"/>
  <c r="B3" i="3"/>
  <c r="F367" i="3"/>
  <c r="E2" i="3"/>
  <c r="E367" i="3"/>
  <c r="B2" i="3"/>
</calcChain>
</file>

<file path=xl/sharedStrings.xml><?xml version="1.0" encoding="utf-8"?>
<sst xmlns="http://schemas.openxmlformats.org/spreadsheetml/2006/main" count="21" uniqueCount="21">
  <si>
    <t>Date</t>
  </si>
  <si>
    <t>Day</t>
  </si>
  <si>
    <t>2025 Sales</t>
  </si>
  <si>
    <t>2024 Sales</t>
  </si>
  <si>
    <t xml:space="preserve">$ Change </t>
  </si>
  <si>
    <t>% Change</t>
  </si>
  <si>
    <t>2025 YTD</t>
  </si>
  <si>
    <t>2024 YTD</t>
  </si>
  <si>
    <t>YoY % Change</t>
  </si>
  <si>
    <t>January</t>
  </si>
  <si>
    <t>February</t>
  </si>
  <si>
    <t xml:space="preserve">March 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</si>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</sst>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4"/>
      <color theme="5" tint="-0.499984740745262"/>
      <name val="Times New Roman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medium">
        <color theme="1"/>
      </left>
      <right style="thin">
        <color theme="2" tint="-9.9978637043366805E-2"/>
      </right>
      <top/>
      <bottom style="medium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medium">
        <color theme="1"/>
      </bottom>
      <diagonal/>
    </border>
    <border>
      <left style="thin">
        <color theme="2" tint="-9.9978637043366805E-2"/>
      </left>
      <right style="medium">
        <color theme="1"/>
      </right>
      <top/>
      <bottom style="medium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medium">
        <color theme="1"/>
      </bottom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1" tint="0.89999084444715716"/>
      </left>
      <right style="thin">
        <color theme="1" tint="0.89999084444715716"/>
      </right>
      <top style="thin">
        <color theme="1" tint="0.89999084444715716"/>
      </top>
      <bottom style="thin">
        <color theme="1" tint="0.89999084444715716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theme="1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 style="medium">
        <color theme="1"/>
      </top>
      <bottom style="thin">
        <color theme="2" tint="-9.9978637043366805E-2"/>
      </bottom>
      <diagonal/>
    </border>
    <border>
      <left style="medium">
        <color theme="1"/>
      </left>
      <right/>
      <top/>
      <bottom/>
      <diagonal/>
    </border>
    <border>
      <left style="thin">
        <color theme="2" tint="-9.9978637043366805E-2"/>
      </left>
      <right style="medium">
        <color theme="1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rgb="FF505050"/>
      </top>
      <bottom style="medium">
        <color theme="1"/>
      </bottom>
      <diagonal/>
    </border>
    <border>
      <left/>
      <right/>
      <top style="medium">
        <color rgb="FF505050"/>
      </top>
      <bottom style="medium">
        <color theme="1"/>
      </bottom>
      <diagonal/>
    </border>
    <border>
      <left/>
      <right style="medium">
        <color theme="1"/>
      </right>
      <top style="medium">
        <color rgb="FF505050"/>
      </top>
      <bottom style="medium">
        <color theme="1"/>
      </bottom>
      <diagonal/>
    </border>
    <border>
      <left/>
      <right style="thin">
        <color theme="1" tint="0.89999084444715716"/>
      </right>
      <top style="thin">
        <color theme="1" tint="0.89999084444715716"/>
      </top>
      <bottom style="thin">
        <color theme="1" tint="0.89999084444715716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5" borderId="5" xfId="0" applyFill="1" applyBorder="1"/>
    <xf numFmtId="0" fontId="0" fillId="5" borderId="6" xfId="0" applyFill="1" applyBorder="1"/>
    <xf numFmtId="9" fontId="0" fillId="3" borderId="4" xfId="0" applyNumberFormat="1" applyFill="1" applyBorder="1" applyAlignment="1">
      <alignment horizontal="center"/>
    </xf>
    <xf numFmtId="0" fontId="1" fillId="8" borderId="0" xfId="0" applyFont="1" applyFill="1"/>
    <xf numFmtId="0" fontId="1" fillId="5" borderId="0" xfId="0" applyFont="1" applyFill="1"/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14" fontId="2" fillId="2" borderId="7" xfId="0" applyNumberFormat="1" applyFont="1" applyFill="1" applyBorder="1" applyAlignment="1">
      <alignment horizontal="center"/>
    </xf>
    <xf numFmtId="0" fontId="3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4" borderId="0" xfId="0" applyFill="1" applyBorder="1"/>
    <xf numFmtId="0" fontId="2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5" borderId="1" xfId="0" applyFill="1" applyBorder="1"/>
    <xf numFmtId="0" fontId="0" fillId="5" borderId="0" xfId="0" applyFill="1" applyBorder="1"/>
    <xf numFmtId="0" fontId="0" fillId="5" borderId="9" xfId="0" applyFill="1" applyBorder="1"/>
    <xf numFmtId="0" fontId="0" fillId="0" borderId="10" xfId="0" applyBorder="1"/>
    <xf numFmtId="0" fontId="0" fillId="7" borderId="10" xfId="0" applyFill="1" applyBorder="1"/>
    <xf numFmtId="14" fontId="0" fillId="4" borderId="11" xfId="0" applyNumberFormat="1" applyFill="1" applyBorder="1"/>
    <xf numFmtId="0" fontId="0" fillId="4" borderId="12" xfId="0" applyFill="1" applyBorder="1"/>
    <xf numFmtId="0" fontId="0" fillId="5" borderId="13" xfId="0" applyFill="1" applyBorder="1"/>
    <xf numFmtId="2" fontId="0" fillId="5" borderId="14" xfId="0" applyNumberFormat="1" applyFill="1" applyBorder="1"/>
    <xf numFmtId="14" fontId="0" fillId="4" borderId="15" xfId="0" applyNumberFormat="1" applyFill="1" applyBorder="1"/>
    <xf numFmtId="2" fontId="0" fillId="5" borderId="16" xfId="0" applyNumberFormat="1" applyFill="1" applyBorder="1"/>
    <xf numFmtId="2" fontId="0" fillId="5" borderId="17" xfId="0" applyNumberFormat="1" applyFill="1" applyBorder="1"/>
    <xf numFmtId="14" fontId="0" fillId="6" borderId="18" xfId="0" applyNumberFormat="1" applyFill="1" applyBorder="1"/>
    <xf numFmtId="0" fontId="0" fillId="6" borderId="19" xfId="0" applyFill="1" applyBorder="1"/>
    <xf numFmtId="164" fontId="0" fillId="6" borderId="19" xfId="0" applyNumberFormat="1" applyFill="1" applyBorder="1"/>
    <xf numFmtId="10" fontId="0" fillId="6" borderId="20" xfId="0" applyNumberFormat="1" applyFill="1" applyBorder="1"/>
    <xf numFmtId="0" fontId="0" fillId="0" borderId="21" xfId="0" applyBorder="1"/>
    <xf numFmtId="0" fontId="0" fillId="7" borderId="2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Year-over-Year Monthly Sales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2025</c:v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'25-24'!$H$5:$H$16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 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'25-24'!$I$5:$I$16</c:f>
              <c:numCache>
                <c:formatCode>General</c:formatCode>
                <c:ptCount val="12"/>
                <c:pt idx="0">
                  <c:v>213268.00000000003</c:v>
                </c:pt>
                <c:pt idx="1">
                  <c:v>262796.19999999995</c:v>
                </c:pt>
                <c:pt idx="2">
                  <c:v>248928.59999999998</c:v>
                </c:pt>
                <c:pt idx="3">
                  <c:v>361408.6</c:v>
                </c:pt>
                <c:pt idx="4">
                  <c:v>317607.99999999994</c:v>
                </c:pt>
                <c:pt idx="5">
                  <c:v>273674.19999999995</c:v>
                </c:pt>
                <c:pt idx="6">
                  <c:v>285640</c:v>
                </c:pt>
                <c:pt idx="7">
                  <c:v>260420.80000000002</c:v>
                </c:pt>
                <c:pt idx="8">
                  <c:v>232049.2</c:v>
                </c:pt>
                <c:pt idx="9">
                  <c:v>224922.99999999997</c:v>
                </c:pt>
                <c:pt idx="10">
                  <c:v>503015</c:v>
                </c:pt>
                <c:pt idx="11">
                  <c:v>338979.2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6A1-4CB4-B072-9DC536C892C2}"/>
            </c:ext>
          </c:extLst>
        </c:ser>
        <c:ser>
          <c:idx val="1"/>
          <c:order val="1"/>
          <c:tx>
            <c:v>2024</c:v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'25-24'!$H$5:$H$16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 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'25-24'!$J$5:$J$16</c:f>
              <c:numCache>
                <c:formatCode>General</c:formatCode>
                <c:ptCount val="12"/>
                <c:pt idx="0">
                  <c:v>155126.43999999997</c:v>
                </c:pt>
                <c:pt idx="1">
                  <c:v>176011.01</c:v>
                </c:pt>
                <c:pt idx="2">
                  <c:v>189363.44</c:v>
                </c:pt>
                <c:pt idx="3">
                  <c:v>215303.83000000007</c:v>
                </c:pt>
                <c:pt idx="4">
                  <c:v>203752.36</c:v>
                </c:pt>
                <c:pt idx="5">
                  <c:v>248598.14</c:v>
                </c:pt>
                <c:pt idx="6">
                  <c:v>189335.30000000002</c:v>
                </c:pt>
                <c:pt idx="7">
                  <c:v>181563.97000000003</c:v>
                </c:pt>
                <c:pt idx="8">
                  <c:v>166452.79</c:v>
                </c:pt>
                <c:pt idx="9">
                  <c:v>167709.71</c:v>
                </c:pt>
                <c:pt idx="10">
                  <c:v>388922.94</c:v>
                </c:pt>
                <c:pt idx="11">
                  <c:v>197106.63000000003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6A1-4CB4-B072-9DC536C89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71239"/>
        <c:axId val="43874311"/>
      </c:lineChart>
      <c:catAx>
        <c:axId val="43871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3874311"/>
        <c:crosses val="autoZero"/>
        <c:auto val="1"/>
        <c:lblAlgn val="ctr"/>
        <c:lblOffset val="100"/>
        <c:noMultiLvlLbl val="0"/>
      </c:catAx>
      <c:valAx>
        <c:axId val="43874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1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16</xdr:row>
      <xdr:rowOff>142875</xdr:rowOff>
    </xdr:from>
    <xdr:to>
      <xdr:col>16</xdr:col>
      <xdr:colOff>104775</xdr:colOff>
      <xdr:row>33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814096-B392-AF06-B241-59DECF674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4C92-F4F8-1942-98B7-D553371F188B}">
  <dimension ref="A1:J368"/>
  <sheetViews>
    <sheetView tabSelected="1" zoomScaleNormal="150" zoomScaleSheetLayoutView="100" workbookViewId="0">
      <pane ySplit="1" topLeftCell="A2" activePane="bottomLeft" state="frozen"/>
      <selection activeCell="C1" sqref="C1"/>
      <selection pane="bottomLeft" activeCell="J72" sqref="J72"/>
    </sheetView>
  </sheetViews>
  <sheetFormatPr defaultRowHeight="15" x14ac:dyDescent="0.2"/>
  <cols>
    <col min="1" max="1" width="11.02734375" customWidth="1"/>
    <col min="3" max="3" width="12.9140625" customWidth="1"/>
    <col min="4" max="4" width="16.94921875" customWidth="1"/>
    <col min="5" max="5" width="15.87109375" customWidth="1"/>
    <col min="6" max="6" width="13.31640625" customWidth="1"/>
    <col min="8" max="8" width="14.52734375" customWidth="1"/>
    <col min="9" max="9" width="15.87109375" customWidth="1"/>
    <col min="10" max="10" width="18.6953125" customWidth="1"/>
  </cols>
  <sheetData>
    <row r="1" spans="1:10" s="12" customFormat="1" ht="19.5" thickBot="1" x14ac:dyDescent="0.3">
      <c r="A1" s="16" t="s">
        <v>0</v>
      </c>
      <c r="B1" s="9" t="s">
        <v>1</v>
      </c>
      <c r="C1" s="9" t="s">
        <v>2</v>
      </c>
      <c r="D1" s="9" t="s">
        <v>3</v>
      </c>
      <c r="E1" s="17" t="s">
        <v>4</v>
      </c>
      <c r="F1" s="9" t="s">
        <v>5</v>
      </c>
      <c r="G1" s="9"/>
      <c r="H1" s="10" t="s">
        <v>6</v>
      </c>
      <c r="I1" s="8" t="s">
        <v>7</v>
      </c>
      <c r="J1" s="11" t="s">
        <v>8</v>
      </c>
    </row>
    <row r="2" spans="1:10" ht="15.75" thickBot="1" x14ac:dyDescent="0.25">
      <c r="A2" s="23">
        <v>45658</v>
      </c>
      <c r="B2" s="24" t="str">
        <f>TEXT(A2,"ddd")</f>
        <v>Wed</v>
      </c>
      <c r="C2" s="25">
        <v>2671.3999999999996</v>
      </c>
      <c r="D2" s="25">
        <v>4014.64</v>
      </c>
      <c r="E2" s="25">
        <f>C2-D2</f>
        <v>-1343.2400000000002</v>
      </c>
      <c r="F2" s="26">
        <f>IF(D2=0,0,(C2-D2)/D2)</f>
        <v>-0.33458541737241704</v>
      </c>
      <c r="H2" s="1">
        <f ca="1">SUM(C2:INDEX(C2:C366,COUNT(C2:C366)))</f>
        <v>3522710.8000000003</v>
      </c>
      <c r="I2" s="2">
        <f ca="1">SUM(D2:INDEX(D2:D366,COUNT(C2:C366)))</f>
        <v>2471395.4999999995</v>
      </c>
      <c r="J2" s="5">
        <f ca="1">IF(I2=0,0,(H2-I2)/I2)</f>
        <v>0.42539338604444371</v>
      </c>
    </row>
    <row r="3" spans="1:10" x14ac:dyDescent="0.2">
      <c r="A3" s="27">
        <v>45659</v>
      </c>
      <c r="B3" s="15" t="str">
        <f t="shared" ref="B3:B66" si="0">TEXT(A3,"ddd")</f>
        <v>Thu</v>
      </c>
      <c r="C3" s="4">
        <v>8088.1999999999989</v>
      </c>
      <c r="D3" s="3">
        <v>4572.75</v>
      </c>
      <c r="E3" s="3">
        <f>C3-D3</f>
        <v>3515.4499999999989</v>
      </c>
      <c r="F3" s="28">
        <f t="shared" ref="F3:F66" si="1">IF(D3=0,0,(C3-D3)/D3)</f>
        <v>0.76878246131977457</v>
      </c>
    </row>
    <row r="4" spans="1:10" ht="18" x14ac:dyDescent="0.2">
      <c r="A4" s="27">
        <v>45660</v>
      </c>
      <c r="B4" s="15" t="str">
        <f t="shared" si="0"/>
        <v>Fri</v>
      </c>
      <c r="C4" s="4">
        <v>6519.4</v>
      </c>
      <c r="D4" s="3">
        <v>7733.8100000000013</v>
      </c>
      <c r="E4" s="3">
        <f>C4-D4</f>
        <v>-1214.4100000000017</v>
      </c>
      <c r="F4" s="28">
        <f t="shared" si="1"/>
        <v>-0.1570260970983256</v>
      </c>
      <c r="H4" s="13"/>
      <c r="I4" s="14">
        <v>2025</v>
      </c>
      <c r="J4" s="14">
        <v>2024</v>
      </c>
    </row>
    <row r="5" spans="1:10" x14ac:dyDescent="0.2">
      <c r="A5" s="27">
        <v>45661</v>
      </c>
      <c r="B5" s="15" t="str">
        <f t="shared" si="0"/>
        <v>Sat</v>
      </c>
      <c r="C5" s="4">
        <v>1650.2</v>
      </c>
      <c r="D5" s="3">
        <v>2818.69</v>
      </c>
      <c r="E5" s="3">
        <f>C5-D5</f>
        <v>-1168.49</v>
      </c>
      <c r="F5" s="28">
        <f t="shared" si="1"/>
        <v>-0.41455073101334305</v>
      </c>
      <c r="H5" s="6" t="s">
        <v>9</v>
      </c>
      <c r="I5" s="7">
        <f>SUM(C2:C32)</f>
        <v>213268.00000000003</v>
      </c>
      <c r="J5" s="7">
        <f>SUM(D2:D32)</f>
        <v>155126.43999999997</v>
      </c>
    </row>
    <row r="6" spans="1:10" x14ac:dyDescent="0.2">
      <c r="A6" s="27">
        <v>45662</v>
      </c>
      <c r="B6" s="15" t="str">
        <f t="shared" si="0"/>
        <v>Sun</v>
      </c>
      <c r="C6" s="4">
        <v>8006.7999999999993</v>
      </c>
      <c r="D6" s="3">
        <v>4216.3100000000004</v>
      </c>
      <c r="E6" s="3">
        <f>C6-D6</f>
        <v>3790.4899999999989</v>
      </c>
      <c r="F6" s="28">
        <f t="shared" si="1"/>
        <v>0.89900647722771776</v>
      </c>
      <c r="H6" s="6" t="s">
        <v>10</v>
      </c>
      <c r="I6" s="7">
        <f>SUM(C33:C60)</f>
        <v>262796.19999999995</v>
      </c>
      <c r="J6" s="7">
        <f>SUM(D33:D60)</f>
        <v>176011.01</v>
      </c>
    </row>
    <row r="7" spans="1:10" x14ac:dyDescent="0.2">
      <c r="A7" s="27">
        <v>45663</v>
      </c>
      <c r="B7" s="15" t="str">
        <f t="shared" si="0"/>
        <v>Mon</v>
      </c>
      <c r="C7" s="4">
        <v>9634.7999999999993</v>
      </c>
      <c r="D7" s="3">
        <v>6833.33</v>
      </c>
      <c r="E7" s="3">
        <f>C7-D7</f>
        <v>2801.4699999999993</v>
      </c>
      <c r="F7" s="28">
        <f t="shared" si="1"/>
        <v>0.40997141949825333</v>
      </c>
      <c r="H7" s="6" t="s">
        <v>11</v>
      </c>
      <c r="I7" s="7">
        <f>SUM(C61:C91)</f>
        <v>248928.59999999998</v>
      </c>
      <c r="J7" s="7">
        <f>SUM(D61:D91)</f>
        <v>189363.44</v>
      </c>
    </row>
    <row r="8" spans="1:10" x14ac:dyDescent="0.2">
      <c r="A8" s="27">
        <v>45664</v>
      </c>
      <c r="B8" s="15" t="str">
        <f t="shared" si="0"/>
        <v>Tue</v>
      </c>
      <c r="C8" s="4">
        <v>15880.4</v>
      </c>
      <c r="D8" s="3">
        <v>9769.27</v>
      </c>
      <c r="E8" s="3">
        <f>C8-D8</f>
        <v>6111.1299999999992</v>
      </c>
      <c r="F8" s="28">
        <f t="shared" si="1"/>
        <v>0.625546228121446</v>
      </c>
      <c r="H8" s="6" t="s">
        <v>12</v>
      </c>
      <c r="I8" s="7">
        <f>SUM(C92:C121)</f>
        <v>361408.6</v>
      </c>
      <c r="J8" s="7">
        <f>SUM(D91:D121)</f>
        <v>215303.83000000007</v>
      </c>
    </row>
    <row r="9" spans="1:10" x14ac:dyDescent="0.2">
      <c r="A9" s="27">
        <v>45665</v>
      </c>
      <c r="B9" s="15" t="str">
        <f t="shared" si="0"/>
        <v>Wed</v>
      </c>
      <c r="C9" s="4">
        <v>2797.2</v>
      </c>
      <c r="D9" s="3">
        <v>2054.2200000000003</v>
      </c>
      <c r="E9" s="3">
        <f>C9-D9</f>
        <v>742.97999999999956</v>
      </c>
      <c r="F9" s="28">
        <f t="shared" si="1"/>
        <v>0.36168472704968285</v>
      </c>
      <c r="H9" s="6" t="s">
        <v>13</v>
      </c>
      <c r="I9" s="7">
        <f>SUM(C122:C152)</f>
        <v>317607.99999999994</v>
      </c>
      <c r="J9" s="7">
        <f>SUM(D122:D152)</f>
        <v>203752.36</v>
      </c>
    </row>
    <row r="10" spans="1:10" x14ac:dyDescent="0.2">
      <c r="A10" s="27">
        <v>45666</v>
      </c>
      <c r="B10" s="15" t="str">
        <f t="shared" si="0"/>
        <v>Thu</v>
      </c>
      <c r="C10" s="4">
        <v>4373.3999999999996</v>
      </c>
      <c r="D10" s="3">
        <v>4924.5</v>
      </c>
      <c r="E10" s="3">
        <f>C10-D10</f>
        <v>-551.10000000000036</v>
      </c>
      <c r="F10" s="28">
        <f t="shared" si="1"/>
        <v>-0.11190983856229066</v>
      </c>
      <c r="H10" s="6" t="s">
        <v>14</v>
      </c>
      <c r="I10" s="7">
        <f>SUM(C153:C182)</f>
        <v>273674.19999999995</v>
      </c>
      <c r="J10" s="7">
        <f>SUM(D153:D182)</f>
        <v>248598.14</v>
      </c>
    </row>
    <row r="11" spans="1:10" x14ac:dyDescent="0.2">
      <c r="A11" s="27">
        <v>45667</v>
      </c>
      <c r="B11" s="15" t="str">
        <f t="shared" si="0"/>
        <v>Fri</v>
      </c>
      <c r="C11" s="4">
        <v>8162.2000000000007</v>
      </c>
      <c r="D11" s="3">
        <v>11213.79</v>
      </c>
      <c r="E11" s="3">
        <f>C11-D11</f>
        <v>-3051.59</v>
      </c>
      <c r="F11" s="28">
        <f t="shared" si="1"/>
        <v>-0.27212833484486509</v>
      </c>
      <c r="H11" s="6" t="s">
        <v>15</v>
      </c>
      <c r="I11" s="7">
        <f>SUM(C183:C213)</f>
        <v>285640</v>
      </c>
      <c r="J11" s="7">
        <f>SUM(D183:D213)</f>
        <v>189335.30000000002</v>
      </c>
    </row>
    <row r="12" spans="1:10" x14ac:dyDescent="0.2">
      <c r="A12" s="27">
        <v>45668</v>
      </c>
      <c r="B12" s="15" t="str">
        <f t="shared" si="0"/>
        <v>Sat</v>
      </c>
      <c r="C12" s="4">
        <v>8621</v>
      </c>
      <c r="D12" s="3">
        <v>6838.02</v>
      </c>
      <c r="E12" s="3">
        <f>C12-D12</f>
        <v>1782.9799999999996</v>
      </c>
      <c r="F12" s="28">
        <f t="shared" si="1"/>
        <v>0.26074506947917664</v>
      </c>
      <c r="H12" s="6" t="s">
        <v>16</v>
      </c>
      <c r="I12" s="7">
        <f>SUM(C214:C244)</f>
        <v>260420.80000000002</v>
      </c>
      <c r="J12" s="7">
        <f>SUM(D214:D244)</f>
        <v>181563.97000000003</v>
      </c>
    </row>
    <row r="13" spans="1:10" x14ac:dyDescent="0.2">
      <c r="A13" s="27">
        <v>45669</v>
      </c>
      <c r="B13" s="15" t="str">
        <f t="shared" si="0"/>
        <v>Sun</v>
      </c>
      <c r="C13" s="4">
        <v>4706.3999999999996</v>
      </c>
      <c r="D13" s="3">
        <v>4169.41</v>
      </c>
      <c r="E13" s="3">
        <f>C13-D13</f>
        <v>536.98999999999978</v>
      </c>
      <c r="F13" s="28">
        <f t="shared" si="1"/>
        <v>0.12879280281862418</v>
      </c>
      <c r="H13" s="6" t="s">
        <v>17</v>
      </c>
      <c r="I13" s="7">
        <f>SUM(C245:C274)</f>
        <v>232049.2</v>
      </c>
      <c r="J13" s="7">
        <f>SUM(D245:D274)</f>
        <v>166452.79</v>
      </c>
    </row>
    <row r="14" spans="1:10" x14ac:dyDescent="0.2">
      <c r="A14" s="27">
        <v>45670</v>
      </c>
      <c r="B14" s="15" t="str">
        <f t="shared" si="0"/>
        <v>Mon</v>
      </c>
      <c r="C14" s="4">
        <v>11736.399999999998</v>
      </c>
      <c r="D14" s="3">
        <v>9576.9800000000014</v>
      </c>
      <c r="E14" s="3">
        <f>C14-D14</f>
        <v>2159.4199999999964</v>
      </c>
      <c r="F14" s="28">
        <f t="shared" si="1"/>
        <v>0.22548026622171041</v>
      </c>
      <c r="H14" s="6" t="s">
        <v>18</v>
      </c>
      <c r="I14" s="7">
        <f>SUM(C275:C305)</f>
        <v>224922.99999999997</v>
      </c>
      <c r="J14" s="7">
        <f>SUM(D275:D305)</f>
        <v>167709.71</v>
      </c>
    </row>
    <row r="15" spans="1:10" x14ac:dyDescent="0.2">
      <c r="A15" s="27">
        <v>45671</v>
      </c>
      <c r="B15" s="15" t="str">
        <f t="shared" si="0"/>
        <v>Tue</v>
      </c>
      <c r="C15" s="4">
        <v>10848.4</v>
      </c>
      <c r="D15" s="3">
        <v>11199.720000000001</v>
      </c>
      <c r="E15" s="3">
        <f>C15-D15</f>
        <v>-351.32000000000153</v>
      </c>
      <c r="F15" s="28">
        <f t="shared" si="1"/>
        <v>-3.1368641358891246E-2</v>
      </c>
      <c r="H15" s="6" t="s">
        <v>19</v>
      </c>
      <c r="I15" s="7">
        <f>SUM(C306:C335)</f>
        <v>503015</v>
      </c>
      <c r="J15" s="7">
        <f>SUM(D306:D335)</f>
        <v>388922.94</v>
      </c>
    </row>
    <row r="16" spans="1:10" x14ac:dyDescent="0.2">
      <c r="A16" s="27">
        <v>45672</v>
      </c>
      <c r="B16" s="15" t="str">
        <f t="shared" si="0"/>
        <v>Wed</v>
      </c>
      <c r="C16" s="4">
        <v>5276.2</v>
      </c>
      <c r="D16" s="3">
        <v>2954.7000000000003</v>
      </c>
      <c r="E16" s="3">
        <f>C16-D16</f>
        <v>2321.4999999999995</v>
      </c>
      <c r="F16" s="28">
        <f t="shared" si="1"/>
        <v>0.78569736352252317</v>
      </c>
      <c r="H16" s="6" t="s">
        <v>20</v>
      </c>
      <c r="I16" s="7">
        <f>SUM(C336:C366)</f>
        <v>338979.2</v>
      </c>
      <c r="J16" s="7">
        <f>SUM(D336:D366)</f>
        <v>197106.63000000003</v>
      </c>
    </row>
    <row r="17" spans="1:6" x14ac:dyDescent="0.2">
      <c r="A17" s="27">
        <v>45673</v>
      </c>
      <c r="B17" s="15" t="str">
        <f t="shared" si="0"/>
        <v>Thu</v>
      </c>
      <c r="C17" s="4">
        <v>11240.599999999999</v>
      </c>
      <c r="D17" s="3">
        <v>7527.4500000000007</v>
      </c>
      <c r="E17" s="3">
        <f>C17-D17</f>
        <v>3713.1499999999978</v>
      </c>
      <c r="F17" s="28">
        <f t="shared" si="1"/>
        <v>0.49328125726507616</v>
      </c>
    </row>
    <row r="18" spans="1:6" x14ac:dyDescent="0.2">
      <c r="A18" s="27">
        <v>45674</v>
      </c>
      <c r="B18" s="15" t="str">
        <f t="shared" si="0"/>
        <v>Fri</v>
      </c>
      <c r="C18" s="4">
        <v>7185.4</v>
      </c>
      <c r="D18" s="3">
        <v>2551.36</v>
      </c>
      <c r="E18" s="3">
        <f>C18-D18</f>
        <v>4634.0399999999991</v>
      </c>
      <c r="F18" s="28">
        <f t="shared" si="1"/>
        <v>1.8163018938918847</v>
      </c>
    </row>
    <row r="19" spans="1:6" x14ac:dyDescent="0.2">
      <c r="A19" s="27">
        <v>45675</v>
      </c>
      <c r="B19" s="15" t="str">
        <f t="shared" si="0"/>
        <v>Sat</v>
      </c>
      <c r="C19" s="4">
        <v>3796.2</v>
      </c>
      <c r="D19" s="3">
        <v>3681.6500000000005</v>
      </c>
      <c r="E19" s="3">
        <f>C19-D19</f>
        <v>114.54999999999927</v>
      </c>
      <c r="F19" s="28">
        <f t="shared" si="1"/>
        <v>3.1113766925155637E-2</v>
      </c>
    </row>
    <row r="20" spans="1:6" x14ac:dyDescent="0.2">
      <c r="A20" s="27">
        <v>45676</v>
      </c>
      <c r="B20" s="15" t="str">
        <f t="shared" si="0"/>
        <v>Sun</v>
      </c>
      <c r="C20" s="4">
        <v>4647.2</v>
      </c>
      <c r="D20" s="3">
        <v>4136.58</v>
      </c>
      <c r="E20" s="3">
        <f>C20-D20</f>
        <v>510.61999999999989</v>
      </c>
      <c r="F20" s="28">
        <f t="shared" si="1"/>
        <v>0.12344013653791294</v>
      </c>
    </row>
    <row r="21" spans="1:6" x14ac:dyDescent="0.2">
      <c r="A21" s="27">
        <v>45677</v>
      </c>
      <c r="B21" s="15" t="str">
        <f t="shared" si="0"/>
        <v>Mon</v>
      </c>
      <c r="C21" s="4">
        <v>5572.2000000000007</v>
      </c>
      <c r="D21" s="3">
        <v>4272.59</v>
      </c>
      <c r="E21" s="3">
        <f>C21-D21</f>
        <v>1299.6100000000006</v>
      </c>
      <c r="F21" s="28">
        <f t="shared" si="1"/>
        <v>0.30417381494596968</v>
      </c>
    </row>
    <row r="22" spans="1:6" x14ac:dyDescent="0.2">
      <c r="A22" s="27">
        <v>45678</v>
      </c>
      <c r="B22" s="15" t="str">
        <f t="shared" si="0"/>
        <v>Tue</v>
      </c>
      <c r="C22" s="4">
        <v>6882</v>
      </c>
      <c r="D22" s="3">
        <v>8606.15</v>
      </c>
      <c r="E22" s="3">
        <f>C22-D22</f>
        <v>-1724.1499999999996</v>
      </c>
      <c r="F22" s="28">
        <f t="shared" si="1"/>
        <v>-0.20033929225030933</v>
      </c>
    </row>
    <row r="23" spans="1:6" x14ac:dyDescent="0.2">
      <c r="A23" s="27">
        <v>45679</v>
      </c>
      <c r="B23" s="15" t="str">
        <f t="shared" si="0"/>
        <v>Wed</v>
      </c>
      <c r="C23" s="4">
        <v>4684.2</v>
      </c>
      <c r="D23" s="3">
        <v>2072.9800000000005</v>
      </c>
      <c r="E23" s="3">
        <f>C23-D23</f>
        <v>2611.2199999999993</v>
      </c>
      <c r="F23" s="28">
        <f t="shared" si="1"/>
        <v>1.2596455344479922</v>
      </c>
    </row>
    <row r="24" spans="1:6" x14ac:dyDescent="0.2">
      <c r="A24" s="27">
        <v>45680</v>
      </c>
      <c r="B24" s="15" t="str">
        <f t="shared" si="0"/>
        <v>Thu</v>
      </c>
      <c r="C24" s="4">
        <v>5557.4</v>
      </c>
      <c r="D24" s="3">
        <v>4174.1000000000004</v>
      </c>
      <c r="E24" s="3">
        <f>C24-D24</f>
        <v>1383.2999999999993</v>
      </c>
      <c r="F24" s="28">
        <f t="shared" si="1"/>
        <v>0.33140078100668385</v>
      </c>
    </row>
    <row r="25" spans="1:6" x14ac:dyDescent="0.2">
      <c r="A25" s="27">
        <v>45681</v>
      </c>
      <c r="B25" s="15" t="str">
        <f t="shared" si="0"/>
        <v>Fri</v>
      </c>
      <c r="C25" s="4">
        <v>2064.6</v>
      </c>
      <c r="D25" s="3">
        <v>1847.8600000000001</v>
      </c>
      <c r="E25" s="3">
        <f>C25-D25</f>
        <v>216.73999999999978</v>
      </c>
      <c r="F25" s="28">
        <f t="shared" si="1"/>
        <v>0.11729243557412346</v>
      </c>
    </row>
    <row r="26" spans="1:6" x14ac:dyDescent="0.2">
      <c r="A26" s="27">
        <v>45682</v>
      </c>
      <c r="B26" s="15" t="str">
        <f t="shared" si="0"/>
        <v>Sat</v>
      </c>
      <c r="C26" s="4">
        <v>10892.8</v>
      </c>
      <c r="D26" s="3">
        <v>2387.21</v>
      </c>
      <c r="E26" s="3">
        <f>C26-D26</f>
        <v>8505.59</v>
      </c>
      <c r="F26" s="28">
        <f t="shared" si="1"/>
        <v>3.5629835665902876</v>
      </c>
    </row>
    <row r="27" spans="1:6" x14ac:dyDescent="0.2">
      <c r="A27" s="27">
        <v>45683</v>
      </c>
      <c r="B27" s="15" t="str">
        <f t="shared" si="0"/>
        <v>Sun</v>
      </c>
      <c r="C27" s="4">
        <v>3322.6</v>
      </c>
      <c r="D27" s="3">
        <v>6392.47</v>
      </c>
      <c r="E27" s="3">
        <f>C27-D27</f>
        <v>-3069.8700000000003</v>
      </c>
      <c r="F27" s="28">
        <f t="shared" si="1"/>
        <v>-0.480232210710414</v>
      </c>
    </row>
    <row r="28" spans="1:6" x14ac:dyDescent="0.2">
      <c r="A28" s="27">
        <v>45684</v>
      </c>
      <c r="B28" s="15" t="str">
        <f t="shared" si="0"/>
        <v>Mon</v>
      </c>
      <c r="C28" s="4">
        <v>13068.4</v>
      </c>
      <c r="D28" s="3">
        <v>3020.36</v>
      </c>
      <c r="E28" s="3">
        <f>C28-D28</f>
        <v>10048.039999999999</v>
      </c>
      <c r="F28" s="28">
        <f t="shared" si="1"/>
        <v>3.3267689944245054</v>
      </c>
    </row>
    <row r="29" spans="1:6" x14ac:dyDescent="0.2">
      <c r="A29" s="27">
        <v>45685</v>
      </c>
      <c r="B29" s="15" t="str">
        <f t="shared" si="0"/>
        <v>Tue</v>
      </c>
      <c r="C29" s="4">
        <v>11418.199999999999</v>
      </c>
      <c r="D29" s="3">
        <v>2607.6400000000003</v>
      </c>
      <c r="E29" s="3">
        <f>C29-D29</f>
        <v>8810.5599999999977</v>
      </c>
      <c r="F29" s="28">
        <f t="shared" si="1"/>
        <v>3.3787486002669067</v>
      </c>
    </row>
    <row r="30" spans="1:6" x14ac:dyDescent="0.2">
      <c r="A30" s="27">
        <v>45686</v>
      </c>
      <c r="B30" s="15" t="str">
        <f t="shared" si="0"/>
        <v>Wed</v>
      </c>
      <c r="C30" s="4">
        <v>5424.2</v>
      </c>
      <c r="D30" s="3">
        <v>1500.8</v>
      </c>
      <c r="E30" s="3">
        <f>C30-D30</f>
        <v>3923.3999999999996</v>
      </c>
      <c r="F30" s="28">
        <f t="shared" si="1"/>
        <v>2.6142057569296373</v>
      </c>
    </row>
    <row r="31" spans="1:6" x14ac:dyDescent="0.2">
      <c r="A31" s="27">
        <v>45687</v>
      </c>
      <c r="B31" s="15" t="str">
        <f t="shared" si="0"/>
        <v>Thu</v>
      </c>
      <c r="C31" s="4">
        <v>4366</v>
      </c>
      <c r="D31" s="3">
        <v>2284.0300000000002</v>
      </c>
      <c r="E31" s="3">
        <f>C31-D31</f>
        <v>2081.9699999999998</v>
      </c>
      <c r="F31" s="28">
        <f t="shared" si="1"/>
        <v>0.91153356129297758</v>
      </c>
    </row>
    <row r="32" spans="1:6" x14ac:dyDescent="0.2">
      <c r="A32" s="27">
        <v>45688</v>
      </c>
      <c r="B32" s="15" t="str">
        <f t="shared" si="0"/>
        <v>Fri</v>
      </c>
      <c r="C32" s="4">
        <v>4173.6000000000004</v>
      </c>
      <c r="D32" s="3">
        <v>5173.07</v>
      </c>
      <c r="E32" s="3">
        <f>C32-D32</f>
        <v>-999.46999999999935</v>
      </c>
      <c r="F32" s="28">
        <f t="shared" si="1"/>
        <v>-0.19320635522040092</v>
      </c>
    </row>
    <row r="33" spans="1:6" x14ac:dyDescent="0.2">
      <c r="A33" s="27">
        <v>45689</v>
      </c>
      <c r="B33" s="15" t="str">
        <f t="shared" si="0"/>
        <v>Sat</v>
      </c>
      <c r="C33" s="4">
        <v>11706.800000000001</v>
      </c>
      <c r="D33" s="3">
        <v>9501.94</v>
      </c>
      <c r="E33" s="3">
        <f>C33-D33</f>
        <v>2204.8600000000006</v>
      </c>
      <c r="F33" s="28">
        <f t="shared" si="1"/>
        <v>0.23204314066390658</v>
      </c>
    </row>
    <row r="34" spans="1:6" x14ac:dyDescent="0.2">
      <c r="A34" s="27">
        <v>45690</v>
      </c>
      <c r="B34" s="15" t="str">
        <f t="shared" si="0"/>
        <v>Sun</v>
      </c>
      <c r="C34" s="4">
        <v>8783.7999999999993</v>
      </c>
      <c r="D34" s="3">
        <v>6847.4000000000005</v>
      </c>
      <c r="E34" s="3">
        <f>C34-D34</f>
        <v>1936.3999999999987</v>
      </c>
      <c r="F34" s="28">
        <f t="shared" si="1"/>
        <v>0.28279346905394726</v>
      </c>
    </row>
    <row r="35" spans="1:6" x14ac:dyDescent="0.2">
      <c r="A35" s="27">
        <v>45691</v>
      </c>
      <c r="B35" s="15" t="str">
        <f t="shared" si="0"/>
        <v>Mon</v>
      </c>
      <c r="C35" s="4">
        <v>17959.8</v>
      </c>
      <c r="D35" s="3">
        <v>8423.2400000000016</v>
      </c>
      <c r="E35" s="3">
        <f>C35-D35</f>
        <v>9536.5599999999977</v>
      </c>
      <c r="F35" s="28">
        <f t="shared" si="1"/>
        <v>1.1321724182143684</v>
      </c>
    </row>
    <row r="36" spans="1:6" x14ac:dyDescent="0.2">
      <c r="A36" s="27">
        <v>45692</v>
      </c>
      <c r="B36" s="15" t="str">
        <f t="shared" si="0"/>
        <v>Tue</v>
      </c>
      <c r="C36" s="4">
        <v>13490.2</v>
      </c>
      <c r="D36" s="3">
        <v>8418.5500000000011</v>
      </c>
      <c r="E36" s="3">
        <f>C36-D36</f>
        <v>5071.6499999999996</v>
      </c>
      <c r="F36" s="28">
        <f t="shared" si="1"/>
        <v>0.60243747438691919</v>
      </c>
    </row>
    <row r="37" spans="1:6" x14ac:dyDescent="0.2">
      <c r="A37" s="27">
        <v>45693</v>
      </c>
      <c r="B37" s="15" t="str">
        <f t="shared" si="0"/>
        <v>Wed</v>
      </c>
      <c r="C37" s="4">
        <v>5764.6</v>
      </c>
      <c r="D37" s="3">
        <v>5079.2700000000004</v>
      </c>
      <c r="E37" s="3">
        <f>C37-D37</f>
        <v>685.32999999999993</v>
      </c>
      <c r="F37" s="28">
        <f t="shared" si="1"/>
        <v>0.13492686941233678</v>
      </c>
    </row>
    <row r="38" spans="1:6" x14ac:dyDescent="0.2">
      <c r="A38" s="27">
        <v>45694</v>
      </c>
      <c r="B38" s="15" t="str">
        <f t="shared" si="0"/>
        <v>Thu</v>
      </c>
      <c r="C38" s="4">
        <v>7844</v>
      </c>
      <c r="D38" s="3">
        <v>10650.990000000002</v>
      </c>
      <c r="E38" s="3">
        <f>C38-D38</f>
        <v>-2806.9900000000016</v>
      </c>
      <c r="F38" s="28">
        <f t="shared" si="1"/>
        <v>-0.26354263782052195</v>
      </c>
    </row>
    <row r="39" spans="1:6" x14ac:dyDescent="0.2">
      <c r="A39" s="27">
        <v>45695</v>
      </c>
      <c r="B39" s="15" t="str">
        <f t="shared" si="0"/>
        <v>Fri</v>
      </c>
      <c r="C39" s="4">
        <v>11329.400000000001</v>
      </c>
      <c r="D39" s="3">
        <v>2537.29</v>
      </c>
      <c r="E39" s="3">
        <f>C39-D39</f>
        <v>8792.11</v>
      </c>
      <c r="F39" s="28">
        <f t="shared" si="1"/>
        <v>3.4651577076329474</v>
      </c>
    </row>
    <row r="40" spans="1:6" x14ac:dyDescent="0.2">
      <c r="A40" s="27">
        <v>45696</v>
      </c>
      <c r="B40" s="15" t="str">
        <f t="shared" si="0"/>
        <v>Sat</v>
      </c>
      <c r="C40" s="4">
        <v>4447.3999999999996</v>
      </c>
      <c r="D40" s="3">
        <v>3906.77</v>
      </c>
      <c r="E40" s="3">
        <f>C40-D40</f>
        <v>540.62999999999965</v>
      </c>
      <c r="F40" s="28">
        <f t="shared" si="1"/>
        <v>0.13838285847387988</v>
      </c>
    </row>
    <row r="41" spans="1:6" x14ac:dyDescent="0.2">
      <c r="A41" s="27">
        <v>45697</v>
      </c>
      <c r="B41" s="15" t="str">
        <f t="shared" si="0"/>
        <v>Sun</v>
      </c>
      <c r="C41" s="4">
        <v>5646.2</v>
      </c>
      <c r="D41" s="3">
        <v>5970.3700000000008</v>
      </c>
      <c r="E41" s="3">
        <f>C41-D41</f>
        <v>-324.17000000000098</v>
      </c>
      <c r="F41" s="28">
        <f t="shared" si="1"/>
        <v>-5.4296467388118483E-2</v>
      </c>
    </row>
    <row r="42" spans="1:6" x14ac:dyDescent="0.2">
      <c r="A42" s="27">
        <v>45698</v>
      </c>
      <c r="B42" s="15" t="str">
        <f t="shared" si="0"/>
        <v>Mon</v>
      </c>
      <c r="C42" s="4">
        <v>5801.5999999999995</v>
      </c>
      <c r="D42" s="3">
        <v>6129.83</v>
      </c>
      <c r="E42" s="3">
        <f>C42-D42</f>
        <v>-328.23000000000047</v>
      </c>
      <c r="F42" s="28">
        <f t="shared" si="1"/>
        <v>-5.3546346309767234E-2</v>
      </c>
    </row>
    <row r="43" spans="1:6" x14ac:dyDescent="0.2">
      <c r="A43" s="27">
        <v>45699</v>
      </c>
      <c r="B43" s="15" t="str">
        <f t="shared" si="0"/>
        <v>Tue</v>
      </c>
      <c r="C43" s="4">
        <v>12276.6</v>
      </c>
      <c r="D43" s="3">
        <v>8198.1200000000008</v>
      </c>
      <c r="E43" s="3">
        <f>C43-D43</f>
        <v>4078.4799999999996</v>
      </c>
      <c r="F43" s="28">
        <f t="shared" si="1"/>
        <v>0.49748966836299041</v>
      </c>
    </row>
    <row r="44" spans="1:6" x14ac:dyDescent="0.2">
      <c r="A44" s="27">
        <v>45700</v>
      </c>
      <c r="B44" s="15" t="str">
        <f t="shared" si="0"/>
        <v>Wed</v>
      </c>
      <c r="C44" s="4">
        <v>7059.6</v>
      </c>
      <c r="D44" s="3">
        <v>7114.7300000000005</v>
      </c>
      <c r="E44" s="3">
        <f>C44-D44</f>
        <v>-55.130000000000109</v>
      </c>
      <c r="F44" s="28">
        <f t="shared" si="1"/>
        <v>-7.7487128815851205E-3</v>
      </c>
    </row>
    <row r="45" spans="1:6" x14ac:dyDescent="0.2">
      <c r="A45" s="27">
        <v>45701</v>
      </c>
      <c r="B45" s="15" t="str">
        <f t="shared" si="0"/>
        <v>Thu</v>
      </c>
      <c r="C45" s="4">
        <v>4617.6000000000004</v>
      </c>
      <c r="D45" s="3">
        <v>5487.3000000000011</v>
      </c>
      <c r="E45" s="3">
        <f>C45-D45</f>
        <v>-869.70000000000073</v>
      </c>
      <c r="F45" s="28">
        <f t="shared" si="1"/>
        <v>-0.15849324804548695</v>
      </c>
    </row>
    <row r="46" spans="1:6" x14ac:dyDescent="0.2">
      <c r="A46" s="27">
        <v>45702</v>
      </c>
      <c r="B46" s="15" t="str">
        <f t="shared" si="0"/>
        <v>Fri</v>
      </c>
      <c r="C46" s="4">
        <v>7229.8</v>
      </c>
      <c r="D46" s="3">
        <v>2809.3100000000004</v>
      </c>
      <c r="E46" s="3">
        <f>C46-D46</f>
        <v>4420.49</v>
      </c>
      <c r="F46" s="28">
        <f t="shared" si="1"/>
        <v>1.5735144928825937</v>
      </c>
    </row>
    <row r="47" spans="1:6" x14ac:dyDescent="0.2">
      <c r="A47" s="27">
        <v>45703</v>
      </c>
      <c r="B47" s="15" t="str">
        <f t="shared" si="0"/>
        <v>Sat</v>
      </c>
      <c r="C47" s="4">
        <v>12580</v>
      </c>
      <c r="D47" s="3">
        <v>2687.3700000000003</v>
      </c>
      <c r="E47" s="3">
        <f>C47-D47</f>
        <v>9892.6299999999992</v>
      </c>
      <c r="F47" s="28">
        <f t="shared" si="1"/>
        <v>3.6811566699040319</v>
      </c>
    </row>
    <row r="48" spans="1:6" x14ac:dyDescent="0.2">
      <c r="A48" s="27">
        <v>45704</v>
      </c>
      <c r="B48" s="15" t="str">
        <f t="shared" si="0"/>
        <v>Sun</v>
      </c>
      <c r="C48" s="4">
        <v>9146.4</v>
      </c>
      <c r="D48" s="3">
        <v>8817.2000000000007</v>
      </c>
      <c r="E48" s="3">
        <f>C48-D48</f>
        <v>329.19999999999891</v>
      </c>
      <c r="F48" s="28">
        <f t="shared" si="1"/>
        <v>3.7336115773714887E-2</v>
      </c>
    </row>
    <row r="49" spans="1:6" x14ac:dyDescent="0.2">
      <c r="A49" s="27">
        <v>45705</v>
      </c>
      <c r="B49" s="15" t="str">
        <f t="shared" si="0"/>
        <v>Mon</v>
      </c>
      <c r="C49" s="4">
        <v>17086.600000000002</v>
      </c>
      <c r="D49" s="3">
        <v>3775.4500000000003</v>
      </c>
      <c r="E49" s="3">
        <f>C49-D49</f>
        <v>13311.150000000001</v>
      </c>
      <c r="F49" s="28">
        <f t="shared" si="1"/>
        <v>3.5257121667615783</v>
      </c>
    </row>
    <row r="50" spans="1:6" x14ac:dyDescent="0.2">
      <c r="A50" s="27">
        <v>45706</v>
      </c>
      <c r="B50" s="15" t="str">
        <f t="shared" si="0"/>
        <v>Tue</v>
      </c>
      <c r="C50" s="4">
        <v>11995.4</v>
      </c>
      <c r="D50" s="3">
        <v>7391.4400000000005</v>
      </c>
      <c r="E50" s="3">
        <f>C50-D50</f>
        <v>4603.9599999999991</v>
      </c>
      <c r="F50" s="28">
        <f t="shared" si="1"/>
        <v>0.62287727425237827</v>
      </c>
    </row>
    <row r="51" spans="1:6" x14ac:dyDescent="0.2">
      <c r="A51" s="27">
        <v>45707</v>
      </c>
      <c r="B51" s="15" t="str">
        <f t="shared" si="0"/>
        <v>Wed</v>
      </c>
      <c r="C51" s="4">
        <v>8924.4</v>
      </c>
      <c r="D51" s="3">
        <v>3841.11</v>
      </c>
      <c r="E51" s="3">
        <f>C51-D51</f>
        <v>5083.2899999999991</v>
      </c>
      <c r="F51" s="28">
        <f t="shared" si="1"/>
        <v>1.3233908948194659</v>
      </c>
    </row>
    <row r="52" spans="1:6" x14ac:dyDescent="0.2">
      <c r="A52" s="27">
        <v>45708</v>
      </c>
      <c r="B52" s="15" t="str">
        <f t="shared" si="0"/>
        <v>Thu</v>
      </c>
      <c r="C52" s="4">
        <v>4240.2</v>
      </c>
      <c r="D52" s="3">
        <v>11185.65</v>
      </c>
      <c r="E52" s="3">
        <f>C52-D52</f>
        <v>-6945.45</v>
      </c>
      <c r="F52" s="28">
        <f t="shared" si="1"/>
        <v>-0.62092502447332076</v>
      </c>
    </row>
    <row r="53" spans="1:6" x14ac:dyDescent="0.2">
      <c r="A53" s="27">
        <v>45709</v>
      </c>
      <c r="B53" s="15" t="str">
        <f t="shared" si="0"/>
        <v>Fri</v>
      </c>
      <c r="C53" s="4">
        <v>12261.800000000001</v>
      </c>
      <c r="D53" s="3">
        <v>3756.6900000000005</v>
      </c>
      <c r="E53" s="3">
        <f>C53-D53</f>
        <v>8505.11</v>
      </c>
      <c r="F53" s="28">
        <f t="shared" si="1"/>
        <v>2.2639903745052159</v>
      </c>
    </row>
    <row r="54" spans="1:6" x14ac:dyDescent="0.2">
      <c r="A54" s="27">
        <v>45710</v>
      </c>
      <c r="B54" s="15" t="str">
        <f t="shared" si="0"/>
        <v>Sat</v>
      </c>
      <c r="C54" s="4">
        <v>7385.2</v>
      </c>
      <c r="D54" s="3">
        <v>7020.93</v>
      </c>
      <c r="E54" s="3">
        <f>C54-D54</f>
        <v>364.26999999999953</v>
      </c>
      <c r="F54" s="28">
        <f t="shared" si="1"/>
        <v>5.1883439943141367E-2</v>
      </c>
    </row>
    <row r="55" spans="1:6" x14ac:dyDescent="0.2">
      <c r="A55" s="27">
        <v>45711</v>
      </c>
      <c r="B55" s="15" t="str">
        <f t="shared" si="0"/>
        <v>Sun</v>
      </c>
      <c r="C55" s="4">
        <v>10152.799999999999</v>
      </c>
      <c r="D55" s="3">
        <v>8109.01</v>
      </c>
      <c r="E55" s="3">
        <f>C55-D55</f>
        <v>2043.7899999999991</v>
      </c>
      <c r="F55" s="28">
        <f t="shared" si="1"/>
        <v>0.25203939815094556</v>
      </c>
    </row>
    <row r="56" spans="1:6" x14ac:dyDescent="0.2">
      <c r="A56" s="27">
        <v>45712</v>
      </c>
      <c r="B56" s="15" t="str">
        <f t="shared" si="0"/>
        <v>Mon</v>
      </c>
      <c r="C56" s="4">
        <v>7710.8</v>
      </c>
      <c r="D56" s="3">
        <v>3831.73</v>
      </c>
      <c r="E56" s="3">
        <f>C56-D56</f>
        <v>3879.07</v>
      </c>
      <c r="F56" s="28">
        <f t="shared" si="1"/>
        <v>1.0123547327186415</v>
      </c>
    </row>
    <row r="57" spans="1:6" x14ac:dyDescent="0.2">
      <c r="A57" s="27">
        <v>45713</v>
      </c>
      <c r="B57" s="15" t="str">
        <f t="shared" si="0"/>
        <v>Tue</v>
      </c>
      <c r="C57" s="4">
        <v>11891.800000000001</v>
      </c>
      <c r="D57" s="3">
        <v>9375.3100000000013</v>
      </c>
      <c r="E57" s="3">
        <f>C57-D57</f>
        <v>2516.4899999999998</v>
      </c>
      <c r="F57" s="28">
        <f t="shared" si="1"/>
        <v>0.268416724353648</v>
      </c>
    </row>
    <row r="58" spans="1:6" x14ac:dyDescent="0.2">
      <c r="A58" s="27">
        <v>45714</v>
      </c>
      <c r="B58" s="15" t="str">
        <f t="shared" si="0"/>
        <v>Wed</v>
      </c>
      <c r="C58" s="4">
        <v>10086.200000000001</v>
      </c>
      <c r="D58" s="3">
        <v>0</v>
      </c>
      <c r="E58" s="3">
        <f>C58-D58</f>
        <v>10086.200000000001</v>
      </c>
      <c r="F58" s="28">
        <f t="shared" si="1"/>
        <v>0</v>
      </c>
    </row>
    <row r="59" spans="1:6" x14ac:dyDescent="0.2">
      <c r="A59" s="27">
        <v>45715</v>
      </c>
      <c r="B59" s="15" t="str">
        <f t="shared" si="0"/>
        <v>Thu</v>
      </c>
      <c r="C59" s="4">
        <v>7466.5999999999995</v>
      </c>
      <c r="D59" s="3">
        <v>7447.72</v>
      </c>
      <c r="E59" s="3">
        <f>C59-D59</f>
        <v>18.8799999999992</v>
      </c>
      <c r="F59" s="28">
        <f t="shared" si="1"/>
        <v>2.5350040012244281E-3</v>
      </c>
    </row>
    <row r="60" spans="1:6" x14ac:dyDescent="0.2">
      <c r="A60" s="27">
        <v>45716</v>
      </c>
      <c r="B60" s="15" t="str">
        <f t="shared" si="0"/>
        <v>Fri</v>
      </c>
      <c r="C60" s="4">
        <v>7910.5999999999995</v>
      </c>
      <c r="D60" s="3">
        <v>7696.29</v>
      </c>
      <c r="E60" s="3">
        <f>C60-D60</f>
        <v>214.30999999999949</v>
      </c>
      <c r="F60" s="28">
        <f t="shared" si="1"/>
        <v>2.7845884185756967E-2</v>
      </c>
    </row>
    <row r="61" spans="1:6" x14ac:dyDescent="0.2">
      <c r="A61" s="27">
        <v>45717</v>
      </c>
      <c r="B61" s="15" t="str">
        <f t="shared" si="0"/>
        <v>Sat</v>
      </c>
      <c r="C61" s="4">
        <v>5705.4</v>
      </c>
      <c r="D61" s="3">
        <v>5323.1500000000005</v>
      </c>
      <c r="E61" s="3">
        <f>C61-D61</f>
        <v>382.24999999999909</v>
      </c>
      <c r="F61" s="28">
        <f t="shared" si="1"/>
        <v>7.1808985281271248E-2</v>
      </c>
    </row>
    <row r="62" spans="1:6" x14ac:dyDescent="0.2">
      <c r="A62" s="27">
        <v>45718</v>
      </c>
      <c r="B62" s="15" t="str">
        <f t="shared" si="0"/>
        <v>Sun</v>
      </c>
      <c r="C62" s="4">
        <v>9760.5999999999985</v>
      </c>
      <c r="D62" s="3">
        <v>7077.2100000000009</v>
      </c>
      <c r="E62" s="3">
        <f>C62-D62</f>
        <v>2683.3899999999976</v>
      </c>
      <c r="F62" s="28">
        <f t="shared" si="1"/>
        <v>0.37915930147614629</v>
      </c>
    </row>
    <row r="63" spans="1:6" x14ac:dyDescent="0.2">
      <c r="A63" s="27">
        <v>45719</v>
      </c>
      <c r="B63" s="15" t="str">
        <f t="shared" si="0"/>
        <v>Mon</v>
      </c>
      <c r="C63" s="4">
        <v>15532.6</v>
      </c>
      <c r="D63" s="3">
        <v>5304.39</v>
      </c>
      <c r="E63" s="3">
        <f>C63-D63</f>
        <v>10228.209999999999</v>
      </c>
      <c r="F63" s="28">
        <f t="shared" si="1"/>
        <v>1.9282537671626707</v>
      </c>
    </row>
    <row r="64" spans="1:6" x14ac:dyDescent="0.2">
      <c r="A64" s="27">
        <v>45720</v>
      </c>
      <c r="B64" s="15" t="str">
        <f t="shared" si="0"/>
        <v>Tue</v>
      </c>
      <c r="C64" s="4">
        <v>9649.6</v>
      </c>
      <c r="D64" s="3">
        <v>8048.04</v>
      </c>
      <c r="E64" s="3">
        <f>C64-D64</f>
        <v>1601.5600000000004</v>
      </c>
      <c r="F64" s="28">
        <f t="shared" si="1"/>
        <v>0.19900000497015427</v>
      </c>
    </row>
    <row r="65" spans="1:6" x14ac:dyDescent="0.2">
      <c r="A65" s="27">
        <v>45721</v>
      </c>
      <c r="B65" s="15" t="str">
        <f t="shared" si="0"/>
        <v>Wed</v>
      </c>
      <c r="C65" s="4">
        <v>3537.2</v>
      </c>
      <c r="D65" s="3">
        <v>2269.96</v>
      </c>
      <c r="E65" s="3">
        <f>C65-D65</f>
        <v>1267.2399999999998</v>
      </c>
      <c r="F65" s="28">
        <f t="shared" si="1"/>
        <v>0.55826534388271154</v>
      </c>
    </row>
    <row r="66" spans="1:6" x14ac:dyDescent="0.2">
      <c r="A66" s="27">
        <v>45722</v>
      </c>
      <c r="B66" s="15" t="str">
        <f t="shared" si="0"/>
        <v>Thu</v>
      </c>
      <c r="C66" s="4">
        <v>1531.8000000000002</v>
      </c>
      <c r="D66" s="3">
        <v>6444.06</v>
      </c>
      <c r="E66" s="3">
        <f>C66-D66</f>
        <v>-4912.26</v>
      </c>
      <c r="F66" s="28">
        <f t="shared" si="1"/>
        <v>-0.76229271608271798</v>
      </c>
    </row>
    <row r="67" spans="1:6" x14ac:dyDescent="0.2">
      <c r="A67" s="27">
        <v>45723</v>
      </c>
      <c r="B67" s="15" t="str">
        <f t="shared" ref="B67:B130" si="2">TEXT(A67,"ddd")</f>
        <v>Fri</v>
      </c>
      <c r="C67" s="4">
        <v>3966.3999999999996</v>
      </c>
      <c r="D67" s="3">
        <v>6237.7</v>
      </c>
      <c r="E67" s="3">
        <f>C67-D67</f>
        <v>-2271.3000000000002</v>
      </c>
      <c r="F67" s="28">
        <f t="shared" ref="F67:F130" si="3">IF(D67=0,0,(C67-D67)/D67)</f>
        <v>-0.364124597207304</v>
      </c>
    </row>
    <row r="68" spans="1:6" x14ac:dyDescent="0.2">
      <c r="A68" s="27">
        <v>45724</v>
      </c>
      <c r="B68" s="15" t="str">
        <f t="shared" si="2"/>
        <v>Sat</v>
      </c>
      <c r="C68" s="4">
        <v>7222.4</v>
      </c>
      <c r="D68" s="3">
        <v>8245.02</v>
      </c>
      <c r="E68" s="3">
        <f>C68-D68</f>
        <v>-1022.6200000000008</v>
      </c>
      <c r="F68" s="28">
        <f t="shared" si="3"/>
        <v>-0.12402880769240109</v>
      </c>
    </row>
    <row r="69" spans="1:6" x14ac:dyDescent="0.2">
      <c r="A69" s="27">
        <v>45725</v>
      </c>
      <c r="B69" s="15" t="str">
        <f t="shared" si="2"/>
        <v>Sun</v>
      </c>
      <c r="C69" s="4">
        <v>3152.4</v>
      </c>
      <c r="D69" s="3">
        <v>8962.59</v>
      </c>
      <c r="E69" s="3">
        <f>C69-D69</f>
        <v>-5810.1900000000005</v>
      </c>
      <c r="F69" s="28">
        <f t="shared" si="3"/>
        <v>-0.64827131443031538</v>
      </c>
    </row>
    <row r="70" spans="1:6" x14ac:dyDescent="0.2">
      <c r="A70" s="27">
        <v>45726</v>
      </c>
      <c r="B70" s="15" t="str">
        <f t="shared" si="2"/>
        <v>Mon</v>
      </c>
      <c r="C70" s="4">
        <v>8998.4</v>
      </c>
      <c r="D70" s="3">
        <v>7339.8499999999995</v>
      </c>
      <c r="E70" s="3">
        <f>C70-D70</f>
        <v>1658.5500000000002</v>
      </c>
      <c r="F70" s="28">
        <f t="shared" si="3"/>
        <v>0.22596510827877958</v>
      </c>
    </row>
    <row r="71" spans="1:6" x14ac:dyDescent="0.2">
      <c r="A71" s="27">
        <v>45727</v>
      </c>
      <c r="B71" s="15" t="str">
        <f t="shared" si="2"/>
        <v>Tue</v>
      </c>
      <c r="C71" s="4">
        <v>14696.399999999998</v>
      </c>
      <c r="D71" s="3">
        <v>10130.4</v>
      </c>
      <c r="E71" s="3">
        <f>C71-D71</f>
        <v>4565.9999999999982</v>
      </c>
      <c r="F71" s="28">
        <f t="shared" si="3"/>
        <v>0.45072257758824907</v>
      </c>
    </row>
    <row r="72" spans="1:6" x14ac:dyDescent="0.2">
      <c r="A72" s="27">
        <v>45728</v>
      </c>
      <c r="B72" s="15" t="str">
        <f t="shared" si="2"/>
        <v>Wed</v>
      </c>
      <c r="C72" s="4">
        <v>3433.6000000000004</v>
      </c>
      <c r="D72" s="3">
        <v>5037.0600000000004</v>
      </c>
      <c r="E72" s="3">
        <f>C72-D72</f>
        <v>-1603.46</v>
      </c>
      <c r="F72" s="28">
        <f t="shared" si="3"/>
        <v>-0.31833251936645579</v>
      </c>
    </row>
    <row r="73" spans="1:6" x14ac:dyDescent="0.2">
      <c r="A73" s="27">
        <v>45729</v>
      </c>
      <c r="B73" s="15" t="str">
        <f t="shared" si="2"/>
        <v>Thu</v>
      </c>
      <c r="C73" s="4">
        <v>6371.4</v>
      </c>
      <c r="D73" s="3">
        <v>2387.21</v>
      </c>
      <c r="E73" s="3">
        <f>C73-D73</f>
        <v>3984.1899999999996</v>
      </c>
      <c r="F73" s="28">
        <f t="shared" si="3"/>
        <v>1.6689734040993458</v>
      </c>
    </row>
    <row r="74" spans="1:6" x14ac:dyDescent="0.2">
      <c r="A74" s="27">
        <v>45730</v>
      </c>
      <c r="B74" s="15" t="str">
        <f t="shared" si="2"/>
        <v>Fri</v>
      </c>
      <c r="C74" s="4">
        <v>6142</v>
      </c>
      <c r="D74" s="3">
        <v>4108.4400000000005</v>
      </c>
      <c r="E74" s="3">
        <f>C74-D74</f>
        <v>2033.5599999999995</v>
      </c>
      <c r="F74" s="28">
        <f t="shared" si="3"/>
        <v>0.49497132731645083</v>
      </c>
    </row>
    <row r="75" spans="1:6" x14ac:dyDescent="0.2">
      <c r="A75" s="27">
        <v>45731</v>
      </c>
      <c r="B75" s="15" t="str">
        <f t="shared" si="2"/>
        <v>Sat</v>
      </c>
      <c r="C75" s="4">
        <v>8806</v>
      </c>
      <c r="D75" s="3">
        <v>8620.2200000000012</v>
      </c>
      <c r="E75" s="3">
        <f>C75-D75</f>
        <v>185.77999999999884</v>
      </c>
      <c r="F75" s="28">
        <f t="shared" si="3"/>
        <v>2.1551654134117089E-2</v>
      </c>
    </row>
    <row r="76" spans="1:6" x14ac:dyDescent="0.2">
      <c r="A76" s="27">
        <v>45732</v>
      </c>
      <c r="B76" s="15" t="str">
        <f t="shared" si="2"/>
        <v>Sun</v>
      </c>
      <c r="C76" s="4">
        <v>10108.4</v>
      </c>
      <c r="D76" s="3">
        <v>5557.6500000000005</v>
      </c>
      <c r="E76" s="3">
        <f>C76-D76</f>
        <v>4550.7499999999991</v>
      </c>
      <c r="F76" s="28">
        <f t="shared" si="3"/>
        <v>0.81882630248396326</v>
      </c>
    </row>
    <row r="77" spans="1:6" x14ac:dyDescent="0.2">
      <c r="A77" s="27">
        <v>45733</v>
      </c>
      <c r="B77" s="15" t="str">
        <f t="shared" si="2"/>
        <v>Mon</v>
      </c>
      <c r="C77" s="4">
        <v>12846.399999999998</v>
      </c>
      <c r="D77" s="3">
        <v>10350.83</v>
      </c>
      <c r="E77" s="3">
        <f>C77-D77</f>
        <v>2495.5699999999979</v>
      </c>
      <c r="F77" s="28">
        <f t="shared" si="3"/>
        <v>0.2410985399238513</v>
      </c>
    </row>
    <row r="78" spans="1:6" x14ac:dyDescent="0.2">
      <c r="A78" s="27">
        <v>45734</v>
      </c>
      <c r="B78" s="15" t="str">
        <f t="shared" si="2"/>
        <v>Tue</v>
      </c>
      <c r="C78" s="4">
        <v>11625.4</v>
      </c>
      <c r="D78" s="3">
        <v>7175.7000000000007</v>
      </c>
      <c r="E78" s="3">
        <f>C78-D78</f>
        <v>4449.6999999999989</v>
      </c>
      <c r="F78" s="28">
        <f t="shared" si="3"/>
        <v>0.62010674916732844</v>
      </c>
    </row>
    <row r="79" spans="1:6" x14ac:dyDescent="0.2">
      <c r="A79" s="27">
        <v>45735</v>
      </c>
      <c r="B79" s="15" t="str">
        <f t="shared" si="2"/>
        <v>Wed</v>
      </c>
      <c r="C79" s="4">
        <v>0</v>
      </c>
      <c r="D79" s="3">
        <v>140.70000000000002</v>
      </c>
      <c r="E79" s="3">
        <f>C79-D79</f>
        <v>-140.70000000000002</v>
      </c>
      <c r="F79" s="28">
        <f t="shared" si="3"/>
        <v>-1</v>
      </c>
    </row>
    <row r="80" spans="1:6" x14ac:dyDescent="0.2">
      <c r="A80" s="27">
        <v>45736</v>
      </c>
      <c r="B80" s="15" t="str">
        <f t="shared" si="2"/>
        <v>Thu</v>
      </c>
      <c r="C80" s="4">
        <v>5106</v>
      </c>
      <c r="D80" s="3">
        <v>9698.9200000000019</v>
      </c>
      <c r="E80" s="3">
        <f>C80-D80</f>
        <v>-4592.9200000000019</v>
      </c>
      <c r="F80" s="28">
        <f t="shared" si="3"/>
        <v>-0.4735496323301977</v>
      </c>
    </row>
    <row r="81" spans="1:6" x14ac:dyDescent="0.2">
      <c r="A81" s="27">
        <v>45737</v>
      </c>
      <c r="B81" s="15" t="str">
        <f t="shared" si="2"/>
        <v>Fri</v>
      </c>
      <c r="C81" s="4">
        <v>9294.4</v>
      </c>
      <c r="D81" s="3">
        <v>5740.56</v>
      </c>
      <c r="E81" s="3">
        <f>C81-D81</f>
        <v>3553.8399999999992</v>
      </c>
      <c r="F81" s="28">
        <f t="shared" si="3"/>
        <v>0.61907549089287439</v>
      </c>
    </row>
    <row r="82" spans="1:6" x14ac:dyDescent="0.2">
      <c r="A82" s="27">
        <v>45738</v>
      </c>
      <c r="B82" s="15" t="str">
        <f t="shared" si="2"/>
        <v>Sat</v>
      </c>
      <c r="C82" s="4">
        <v>3959</v>
      </c>
      <c r="D82" s="3">
        <v>2856.21</v>
      </c>
      <c r="E82" s="3">
        <f>C82-D82</f>
        <v>1102.79</v>
      </c>
      <c r="F82" s="28">
        <f t="shared" si="3"/>
        <v>0.38610256248665187</v>
      </c>
    </row>
    <row r="83" spans="1:6" x14ac:dyDescent="0.2">
      <c r="A83" s="27">
        <v>45739</v>
      </c>
      <c r="B83" s="15" t="str">
        <f t="shared" si="2"/>
        <v>Sun</v>
      </c>
      <c r="C83" s="4">
        <v>5594.4</v>
      </c>
      <c r="D83" s="3">
        <v>6828.64</v>
      </c>
      <c r="E83" s="3">
        <f>C83-D83</f>
        <v>-1234.2400000000007</v>
      </c>
      <c r="F83" s="28">
        <f t="shared" si="3"/>
        <v>-0.18074462850582262</v>
      </c>
    </row>
    <row r="84" spans="1:6" x14ac:dyDescent="0.2">
      <c r="A84" s="27">
        <v>45740</v>
      </c>
      <c r="B84" s="15" t="str">
        <f t="shared" si="2"/>
        <v>Mon</v>
      </c>
      <c r="C84" s="4">
        <v>11166.6</v>
      </c>
      <c r="D84" s="3">
        <v>9168.9500000000007</v>
      </c>
      <c r="E84" s="3">
        <f>C84-D84</f>
        <v>1997.6499999999996</v>
      </c>
      <c r="F84" s="28">
        <f t="shared" si="3"/>
        <v>0.21787118481396447</v>
      </c>
    </row>
    <row r="85" spans="1:6" x14ac:dyDescent="0.2">
      <c r="A85" s="27">
        <v>45741</v>
      </c>
      <c r="B85" s="15" t="str">
        <f t="shared" si="2"/>
        <v>Tue</v>
      </c>
      <c r="C85" s="4">
        <v>9472</v>
      </c>
      <c r="D85" s="3">
        <v>3817.66</v>
      </c>
      <c r="E85" s="3">
        <f>C85-D85</f>
        <v>5654.34</v>
      </c>
      <c r="F85" s="28">
        <f t="shared" si="3"/>
        <v>1.4811009885636752</v>
      </c>
    </row>
    <row r="86" spans="1:6" x14ac:dyDescent="0.2">
      <c r="A86" s="27">
        <v>45742</v>
      </c>
      <c r="B86" s="15" t="str">
        <f t="shared" si="2"/>
        <v>Wed</v>
      </c>
      <c r="C86" s="4">
        <v>1924</v>
      </c>
      <c r="D86" s="3">
        <v>6340.88</v>
      </c>
      <c r="E86" s="3">
        <f>C86-D86</f>
        <v>-4416.88</v>
      </c>
      <c r="F86" s="28">
        <f t="shared" si="3"/>
        <v>-0.6965720846317861</v>
      </c>
    </row>
    <row r="87" spans="1:6" x14ac:dyDescent="0.2">
      <c r="A87" s="27">
        <v>45743</v>
      </c>
      <c r="B87" s="15" t="str">
        <f t="shared" si="2"/>
        <v>Thu</v>
      </c>
      <c r="C87" s="4">
        <v>8258.4</v>
      </c>
      <c r="D87" s="3">
        <v>4605.58</v>
      </c>
      <c r="E87" s="3">
        <f>C87-D87</f>
        <v>3652.8199999999997</v>
      </c>
      <c r="F87" s="28">
        <f t="shared" si="3"/>
        <v>0.79312920413932664</v>
      </c>
    </row>
    <row r="88" spans="1:6" x14ac:dyDescent="0.2">
      <c r="A88" s="27">
        <v>45744</v>
      </c>
      <c r="B88" s="15" t="str">
        <f t="shared" si="2"/>
        <v>Fri</v>
      </c>
      <c r="C88" s="4">
        <v>13349.6</v>
      </c>
      <c r="D88" s="3">
        <v>4483.6399999999994</v>
      </c>
      <c r="E88" s="3">
        <f>C88-D88</f>
        <v>8865.9600000000009</v>
      </c>
      <c r="F88" s="28">
        <f t="shared" si="3"/>
        <v>1.9774022892114447</v>
      </c>
    </row>
    <row r="89" spans="1:6" x14ac:dyDescent="0.2">
      <c r="A89" s="27">
        <v>45745</v>
      </c>
      <c r="B89" s="15" t="str">
        <f t="shared" si="2"/>
        <v>Sat</v>
      </c>
      <c r="C89" s="4">
        <v>12587.4</v>
      </c>
      <c r="D89" s="3">
        <v>6073.5500000000011</v>
      </c>
      <c r="E89" s="3">
        <f>C89-D89</f>
        <v>6513.8499999999985</v>
      </c>
      <c r="F89" s="28">
        <f t="shared" si="3"/>
        <v>1.0724946695095945</v>
      </c>
    </row>
    <row r="90" spans="1:6" x14ac:dyDescent="0.2">
      <c r="A90" s="27">
        <v>45746</v>
      </c>
      <c r="B90" s="15" t="str">
        <f t="shared" si="2"/>
        <v>Sun</v>
      </c>
      <c r="C90" s="4">
        <v>14104.400000000001</v>
      </c>
      <c r="D90" s="3">
        <v>3137.61</v>
      </c>
      <c r="E90" s="3">
        <f>C90-D90</f>
        <v>10966.79</v>
      </c>
      <c r="F90" s="28">
        <f t="shared" si="3"/>
        <v>3.49526869177495</v>
      </c>
    </row>
    <row r="91" spans="1:6" x14ac:dyDescent="0.2">
      <c r="A91" s="27">
        <v>45747</v>
      </c>
      <c r="B91" s="15" t="str">
        <f t="shared" si="2"/>
        <v>Mon</v>
      </c>
      <c r="C91" s="4">
        <v>11026</v>
      </c>
      <c r="D91" s="3">
        <v>7851.0600000000013</v>
      </c>
      <c r="E91" s="3">
        <f>C91-D91</f>
        <v>3174.9399999999987</v>
      </c>
      <c r="F91" s="28">
        <f t="shared" si="3"/>
        <v>0.40439634902802912</v>
      </c>
    </row>
    <row r="92" spans="1:6" x14ac:dyDescent="0.2">
      <c r="A92" s="27">
        <v>45748</v>
      </c>
      <c r="B92" s="15" t="str">
        <f t="shared" si="2"/>
        <v>Tue</v>
      </c>
      <c r="C92" s="4">
        <v>15739.8</v>
      </c>
      <c r="D92" s="3">
        <v>6626.97</v>
      </c>
      <c r="E92" s="3">
        <f>C92-D92</f>
        <v>9112.8299999999981</v>
      </c>
      <c r="F92" s="28">
        <f t="shared" si="3"/>
        <v>1.3751126080244815</v>
      </c>
    </row>
    <row r="93" spans="1:6" x14ac:dyDescent="0.2">
      <c r="A93" s="27">
        <v>45749</v>
      </c>
      <c r="B93" s="15" t="str">
        <f t="shared" si="2"/>
        <v>Wed</v>
      </c>
      <c r="C93" s="4">
        <v>8125.2</v>
      </c>
      <c r="D93" s="3">
        <v>4084.9900000000002</v>
      </c>
      <c r="E93" s="3">
        <f>C93-D93</f>
        <v>4040.2099999999996</v>
      </c>
      <c r="F93" s="28">
        <f t="shared" si="3"/>
        <v>0.98903791686148546</v>
      </c>
    </row>
    <row r="94" spans="1:6" x14ac:dyDescent="0.2">
      <c r="A94" s="27">
        <v>45750</v>
      </c>
      <c r="B94" s="15" t="str">
        <f t="shared" si="2"/>
        <v>Thu</v>
      </c>
      <c r="C94" s="4">
        <v>14348.599999999999</v>
      </c>
      <c r="D94" s="3">
        <v>5843.7400000000007</v>
      </c>
      <c r="E94" s="3">
        <f>C94-D94</f>
        <v>8504.8599999999969</v>
      </c>
      <c r="F94" s="28">
        <f t="shared" si="3"/>
        <v>1.4553796027886243</v>
      </c>
    </row>
    <row r="95" spans="1:6" x14ac:dyDescent="0.2">
      <c r="A95" s="27">
        <v>45751</v>
      </c>
      <c r="B95" s="15" t="str">
        <f t="shared" si="2"/>
        <v>Fri</v>
      </c>
      <c r="C95" s="4">
        <v>9871.6</v>
      </c>
      <c r="D95" s="3">
        <v>3311.1400000000003</v>
      </c>
      <c r="E95" s="3">
        <f>C95-D95</f>
        <v>6560.46</v>
      </c>
      <c r="F95" s="28">
        <f t="shared" si="3"/>
        <v>1.9813296930966373</v>
      </c>
    </row>
    <row r="96" spans="1:6" x14ac:dyDescent="0.2">
      <c r="A96" s="27">
        <v>45752</v>
      </c>
      <c r="B96" s="15" t="str">
        <f t="shared" si="2"/>
        <v>Sat</v>
      </c>
      <c r="C96" s="4">
        <v>10471</v>
      </c>
      <c r="D96" s="3">
        <v>6931.8200000000006</v>
      </c>
      <c r="E96" s="3">
        <f>C96-D96</f>
        <v>3539.1799999999994</v>
      </c>
      <c r="F96" s="28">
        <f t="shared" si="3"/>
        <v>0.51057009558817157</v>
      </c>
    </row>
    <row r="97" spans="1:6" x14ac:dyDescent="0.2">
      <c r="A97" s="27">
        <v>45753</v>
      </c>
      <c r="B97" s="15" t="str">
        <f t="shared" si="2"/>
        <v>Sun</v>
      </c>
      <c r="C97" s="4">
        <v>7873.6</v>
      </c>
      <c r="D97" s="3">
        <v>10960.53</v>
      </c>
      <c r="E97" s="3">
        <f>C97-D97</f>
        <v>-3086.9300000000003</v>
      </c>
      <c r="F97" s="28">
        <f t="shared" si="3"/>
        <v>-0.28164057759980587</v>
      </c>
    </row>
    <row r="98" spans="1:6" x14ac:dyDescent="0.2">
      <c r="A98" s="27">
        <v>45754</v>
      </c>
      <c r="B98" s="15" t="str">
        <f t="shared" si="2"/>
        <v>Mon</v>
      </c>
      <c r="C98" s="4">
        <v>19069.8</v>
      </c>
      <c r="D98" s="3">
        <v>7541.52</v>
      </c>
      <c r="E98" s="3">
        <f>C98-D98</f>
        <v>11528.279999999999</v>
      </c>
      <c r="F98" s="28">
        <f t="shared" si="3"/>
        <v>1.5286414409827194</v>
      </c>
    </row>
    <row r="99" spans="1:6" x14ac:dyDescent="0.2">
      <c r="A99" s="27">
        <v>45755</v>
      </c>
      <c r="B99" s="15" t="str">
        <f t="shared" si="2"/>
        <v>Tue</v>
      </c>
      <c r="C99" s="4">
        <v>17856.199999999997</v>
      </c>
      <c r="D99" s="3">
        <v>10829.210000000001</v>
      </c>
      <c r="E99" s="3">
        <f>C99-D99</f>
        <v>7026.9899999999961</v>
      </c>
      <c r="F99" s="28">
        <f t="shared" si="3"/>
        <v>0.6488922091269812</v>
      </c>
    </row>
    <row r="100" spans="1:6" x14ac:dyDescent="0.2">
      <c r="A100" s="27">
        <v>45756</v>
      </c>
      <c r="B100" s="15" t="str">
        <f t="shared" si="2"/>
        <v>Wed</v>
      </c>
      <c r="C100" s="4">
        <v>5320.5999999999995</v>
      </c>
      <c r="D100" s="3">
        <v>2457.5600000000004</v>
      </c>
      <c r="E100" s="3">
        <f>C100-D100</f>
        <v>2863.0399999999991</v>
      </c>
      <c r="F100" s="28">
        <f t="shared" si="3"/>
        <v>1.1649929198066369</v>
      </c>
    </row>
    <row r="101" spans="1:6" x14ac:dyDescent="0.2">
      <c r="A101" s="27">
        <v>45757</v>
      </c>
      <c r="B101" s="15" t="str">
        <f t="shared" si="2"/>
        <v>Thu</v>
      </c>
      <c r="C101" s="4">
        <v>8584</v>
      </c>
      <c r="D101" s="3">
        <v>2082.36</v>
      </c>
      <c r="E101" s="3">
        <f>C101-D101</f>
        <v>6501.6399999999994</v>
      </c>
      <c r="F101" s="28">
        <f t="shared" si="3"/>
        <v>3.1222459132906888</v>
      </c>
    </row>
    <row r="102" spans="1:6" x14ac:dyDescent="0.2">
      <c r="A102" s="27">
        <v>45758</v>
      </c>
      <c r="B102" s="15" t="str">
        <f t="shared" si="2"/>
        <v>Fri</v>
      </c>
      <c r="C102" s="4">
        <v>9886.4</v>
      </c>
      <c r="D102" s="3">
        <v>3156.3700000000003</v>
      </c>
      <c r="E102" s="3">
        <f>C102-D102</f>
        <v>6730.0299999999988</v>
      </c>
      <c r="F102" s="28">
        <f t="shared" si="3"/>
        <v>2.1322056666360401</v>
      </c>
    </row>
    <row r="103" spans="1:6" x14ac:dyDescent="0.2">
      <c r="A103" s="27">
        <v>45759</v>
      </c>
      <c r="B103" s="15" t="str">
        <f t="shared" si="2"/>
        <v>Sat</v>
      </c>
      <c r="C103" s="4">
        <v>3922</v>
      </c>
      <c r="D103" s="3">
        <v>5454.47</v>
      </c>
      <c r="E103" s="3">
        <f>C103-D103</f>
        <v>-1532.4700000000003</v>
      </c>
      <c r="F103" s="28">
        <f t="shared" si="3"/>
        <v>-0.28095671990129201</v>
      </c>
    </row>
    <row r="104" spans="1:6" x14ac:dyDescent="0.2">
      <c r="A104" s="27">
        <v>45760</v>
      </c>
      <c r="B104" s="15" t="str">
        <f t="shared" si="2"/>
        <v>Sun</v>
      </c>
      <c r="C104" s="4">
        <v>20697.800000000003</v>
      </c>
      <c r="D104" s="3">
        <v>7649.3899999999994</v>
      </c>
      <c r="E104" s="3">
        <f>C104-D104</f>
        <v>13048.410000000003</v>
      </c>
      <c r="F104" s="28">
        <f t="shared" si="3"/>
        <v>1.7058105286826799</v>
      </c>
    </row>
    <row r="105" spans="1:6" x14ac:dyDescent="0.2">
      <c r="A105" s="27">
        <v>45761</v>
      </c>
      <c r="B105" s="15" t="str">
        <f t="shared" si="2"/>
        <v>Mon</v>
      </c>
      <c r="C105" s="4">
        <v>8066</v>
      </c>
      <c r="D105" s="3">
        <v>9258.0600000000013</v>
      </c>
      <c r="E105" s="3">
        <f>C105-D105</f>
        <v>-1192.0600000000013</v>
      </c>
      <c r="F105" s="28">
        <f t="shared" si="3"/>
        <v>-0.12875915688600001</v>
      </c>
    </row>
    <row r="106" spans="1:6" x14ac:dyDescent="0.2">
      <c r="A106" s="27">
        <v>45762</v>
      </c>
      <c r="B106" s="15" t="str">
        <f t="shared" si="2"/>
        <v>Tue</v>
      </c>
      <c r="C106" s="4">
        <v>24619.8</v>
      </c>
      <c r="D106" s="3">
        <v>9403.4500000000007</v>
      </c>
      <c r="E106" s="3">
        <f>C106-D106</f>
        <v>15216.349999999999</v>
      </c>
      <c r="F106" s="28">
        <f t="shared" si="3"/>
        <v>1.6181667366764323</v>
      </c>
    </row>
    <row r="107" spans="1:6" x14ac:dyDescent="0.2">
      <c r="A107" s="27">
        <v>45763</v>
      </c>
      <c r="B107" s="15" t="str">
        <f t="shared" si="2"/>
        <v>Wed</v>
      </c>
      <c r="C107" s="4">
        <v>4077.4</v>
      </c>
      <c r="D107" s="3">
        <v>42.21</v>
      </c>
      <c r="E107" s="3">
        <f>C107-D107</f>
        <v>4035.19</v>
      </c>
      <c r="F107" s="28">
        <f t="shared" si="3"/>
        <v>95.597962568111825</v>
      </c>
    </row>
    <row r="108" spans="1:6" x14ac:dyDescent="0.2">
      <c r="A108" s="27">
        <v>45764</v>
      </c>
      <c r="B108" s="15" t="str">
        <f t="shared" si="2"/>
        <v>Thu</v>
      </c>
      <c r="C108" s="4">
        <v>8384.1999999999989</v>
      </c>
      <c r="D108" s="3">
        <v>3376.8</v>
      </c>
      <c r="E108" s="3">
        <f>C108-D108</f>
        <v>5007.3999999999987</v>
      </c>
      <c r="F108" s="28">
        <f t="shared" si="3"/>
        <v>1.4828832030324564</v>
      </c>
    </row>
    <row r="109" spans="1:6" x14ac:dyDescent="0.2">
      <c r="A109" s="27">
        <v>45765</v>
      </c>
      <c r="B109" s="15" t="str">
        <f t="shared" si="2"/>
        <v>Fri</v>
      </c>
      <c r="C109" s="4">
        <v>11262.8</v>
      </c>
      <c r="D109" s="3">
        <v>8019.9000000000005</v>
      </c>
      <c r="E109" s="3">
        <f>C109-D109</f>
        <v>3242.8999999999987</v>
      </c>
      <c r="F109" s="28">
        <f t="shared" si="3"/>
        <v>0.40435666280128163</v>
      </c>
    </row>
    <row r="110" spans="1:6" x14ac:dyDescent="0.2">
      <c r="A110" s="27">
        <v>45766</v>
      </c>
      <c r="B110" s="15" t="str">
        <f t="shared" si="2"/>
        <v>Sat</v>
      </c>
      <c r="C110" s="4">
        <v>10537.6</v>
      </c>
      <c r="D110" s="3">
        <v>22338.47</v>
      </c>
      <c r="E110" s="3">
        <f>C110-D110</f>
        <v>-11800.87</v>
      </c>
      <c r="F110" s="28">
        <f t="shared" si="3"/>
        <v>-0.52827566077712573</v>
      </c>
    </row>
    <row r="111" spans="1:6" x14ac:dyDescent="0.2">
      <c r="A111" s="27">
        <v>45767</v>
      </c>
      <c r="B111" s="15" t="str">
        <f t="shared" si="2"/>
        <v>Sun</v>
      </c>
      <c r="C111" s="4">
        <v>13978.599999999999</v>
      </c>
      <c r="D111" s="3">
        <v>9586.36</v>
      </c>
      <c r="E111" s="3">
        <f>C111-D111</f>
        <v>4392.239999999998</v>
      </c>
      <c r="F111" s="28">
        <f t="shared" si="3"/>
        <v>0.45817599172157081</v>
      </c>
    </row>
    <row r="112" spans="1:6" x14ac:dyDescent="0.2">
      <c r="A112" s="27">
        <v>45768</v>
      </c>
      <c r="B112" s="15" t="str">
        <f t="shared" si="2"/>
        <v>Mon</v>
      </c>
      <c r="C112" s="4">
        <v>9494.1999999999989</v>
      </c>
      <c r="D112" s="3">
        <v>5055.82</v>
      </c>
      <c r="E112" s="3">
        <f>C112-D112</f>
        <v>4438.3799999999992</v>
      </c>
      <c r="F112" s="28">
        <f t="shared" si="3"/>
        <v>0.87787539904506084</v>
      </c>
    </row>
    <row r="113" spans="1:6" x14ac:dyDescent="0.2">
      <c r="A113" s="27">
        <v>45769</v>
      </c>
      <c r="B113" s="15" t="str">
        <f t="shared" si="2"/>
        <v>Tue</v>
      </c>
      <c r="C113" s="4">
        <v>16006.199999999999</v>
      </c>
      <c r="D113" s="3">
        <v>13497.820000000002</v>
      </c>
      <c r="E113" s="3">
        <f>C113-D113</f>
        <v>2508.3799999999974</v>
      </c>
      <c r="F113" s="28">
        <f t="shared" si="3"/>
        <v>0.18583593498802006</v>
      </c>
    </row>
    <row r="114" spans="1:6" x14ac:dyDescent="0.2">
      <c r="A114" s="27">
        <v>45770</v>
      </c>
      <c r="B114" s="15" t="str">
        <f t="shared" si="2"/>
        <v>Wed</v>
      </c>
      <c r="C114" s="4">
        <v>6711.7999999999993</v>
      </c>
      <c r="D114" s="3">
        <v>3780.14</v>
      </c>
      <c r="E114" s="3">
        <f>C114-D114</f>
        <v>2931.6599999999994</v>
      </c>
      <c r="F114" s="28">
        <f t="shared" si="3"/>
        <v>0.77554270476754816</v>
      </c>
    </row>
    <row r="115" spans="1:6" x14ac:dyDescent="0.2">
      <c r="A115" s="27">
        <v>45771</v>
      </c>
      <c r="B115" s="15" t="str">
        <f t="shared" si="2"/>
        <v>Thu</v>
      </c>
      <c r="C115" s="4">
        <v>7348.1999999999989</v>
      </c>
      <c r="D115" s="3">
        <v>3939.6000000000004</v>
      </c>
      <c r="E115" s="3">
        <f>C115-D115</f>
        <v>3408.5999999999985</v>
      </c>
      <c r="F115" s="28">
        <f t="shared" si="3"/>
        <v>0.86521474261346287</v>
      </c>
    </row>
    <row r="116" spans="1:6" x14ac:dyDescent="0.2">
      <c r="A116" s="27">
        <v>45772</v>
      </c>
      <c r="B116" s="15" t="str">
        <f t="shared" si="2"/>
        <v>Fri</v>
      </c>
      <c r="C116" s="4">
        <v>11151.800000000001</v>
      </c>
      <c r="D116" s="3">
        <v>4417.9799999999996</v>
      </c>
      <c r="E116" s="3">
        <f>C116-D116</f>
        <v>6733.8200000000015</v>
      </c>
      <c r="F116" s="28">
        <f t="shared" si="3"/>
        <v>1.5241852611374433</v>
      </c>
    </row>
    <row r="117" spans="1:6" x14ac:dyDescent="0.2">
      <c r="A117" s="27">
        <v>45773</v>
      </c>
      <c r="B117" s="15" t="str">
        <f t="shared" si="2"/>
        <v>Sat</v>
      </c>
      <c r="C117" s="4">
        <v>14060</v>
      </c>
      <c r="D117" s="3">
        <v>12958.470000000001</v>
      </c>
      <c r="E117" s="3">
        <f>C117-D117</f>
        <v>1101.5299999999988</v>
      </c>
      <c r="F117" s="28">
        <f t="shared" si="3"/>
        <v>8.5004634034727772E-2</v>
      </c>
    </row>
    <row r="118" spans="1:6" x14ac:dyDescent="0.2">
      <c r="A118" s="27">
        <v>45774</v>
      </c>
      <c r="B118" s="15" t="str">
        <f t="shared" si="2"/>
        <v>Sun</v>
      </c>
      <c r="C118" s="4">
        <v>18685</v>
      </c>
      <c r="D118" s="3">
        <v>6040.72</v>
      </c>
      <c r="E118" s="3">
        <f>C118-D118</f>
        <v>12644.279999999999</v>
      </c>
      <c r="F118" s="28">
        <f t="shared" si="3"/>
        <v>2.0931743235905649</v>
      </c>
    </row>
    <row r="119" spans="1:6" x14ac:dyDescent="0.2">
      <c r="A119" s="27">
        <v>45775</v>
      </c>
      <c r="B119" s="15" t="str">
        <f t="shared" si="2"/>
        <v>Mon</v>
      </c>
      <c r="C119" s="4">
        <v>17456.600000000002</v>
      </c>
      <c r="D119" s="3">
        <v>7119.42</v>
      </c>
      <c r="E119" s="3">
        <f>C119-D119</f>
        <v>10337.180000000002</v>
      </c>
      <c r="F119" s="28">
        <f t="shared" si="3"/>
        <v>1.4519694020018488</v>
      </c>
    </row>
    <row r="120" spans="1:6" x14ac:dyDescent="0.2">
      <c r="A120" s="27">
        <v>45776</v>
      </c>
      <c r="B120" s="15" t="str">
        <f t="shared" si="2"/>
        <v>Tue</v>
      </c>
      <c r="C120" s="4">
        <v>17811.8</v>
      </c>
      <c r="D120" s="3">
        <v>6908.3700000000008</v>
      </c>
      <c r="E120" s="3">
        <f>C120-D120</f>
        <v>10903.429999999998</v>
      </c>
      <c r="F120" s="28">
        <f t="shared" si="3"/>
        <v>1.5782927086997363</v>
      </c>
    </row>
    <row r="121" spans="1:6" x14ac:dyDescent="0.2">
      <c r="A121" s="27">
        <v>45777</v>
      </c>
      <c r="B121" s="15" t="str">
        <f t="shared" si="2"/>
        <v>Wed</v>
      </c>
      <c r="C121" s="4">
        <v>9990</v>
      </c>
      <c r="D121" s="3">
        <v>4779.1100000000006</v>
      </c>
      <c r="E121" s="3">
        <f>C121-D121</f>
        <v>5210.8899999999994</v>
      </c>
      <c r="F121" s="28">
        <f t="shared" si="3"/>
        <v>1.0903473659321503</v>
      </c>
    </row>
    <row r="122" spans="1:6" x14ac:dyDescent="0.2">
      <c r="A122" s="27">
        <v>45778</v>
      </c>
      <c r="B122" s="15" t="str">
        <f t="shared" si="2"/>
        <v>Thu</v>
      </c>
      <c r="C122" s="4">
        <v>13416.199999999999</v>
      </c>
      <c r="D122" s="3">
        <v>6167.35</v>
      </c>
      <c r="E122" s="3">
        <f>C122-D122</f>
        <v>7248.8499999999985</v>
      </c>
      <c r="F122" s="28">
        <f t="shared" si="3"/>
        <v>1.1753589467113101</v>
      </c>
    </row>
    <row r="123" spans="1:6" x14ac:dyDescent="0.2">
      <c r="A123" s="27">
        <v>45779</v>
      </c>
      <c r="B123" s="15" t="str">
        <f t="shared" si="2"/>
        <v>Fri</v>
      </c>
      <c r="C123" s="4">
        <v>13601.199999999999</v>
      </c>
      <c r="D123" s="3">
        <v>3902.0800000000004</v>
      </c>
      <c r="E123" s="3">
        <f>C123-D123</f>
        <v>9699.119999999999</v>
      </c>
      <c r="F123" s="28">
        <f t="shared" si="3"/>
        <v>2.4856281777923566</v>
      </c>
    </row>
    <row r="124" spans="1:6" x14ac:dyDescent="0.2">
      <c r="A124" s="27">
        <v>45780</v>
      </c>
      <c r="B124" s="15" t="str">
        <f t="shared" si="2"/>
        <v>Sat</v>
      </c>
      <c r="C124" s="4">
        <v>8961.4</v>
      </c>
      <c r="D124" s="3">
        <v>6673.8700000000008</v>
      </c>
      <c r="E124" s="3">
        <f>C124-D124</f>
        <v>2287.5299999999988</v>
      </c>
      <c r="F124" s="28">
        <f t="shared" si="3"/>
        <v>0.34275914873978647</v>
      </c>
    </row>
    <row r="125" spans="1:6" x14ac:dyDescent="0.2">
      <c r="A125" s="27">
        <v>45781</v>
      </c>
      <c r="B125" s="15" t="str">
        <f t="shared" si="2"/>
        <v>Sun</v>
      </c>
      <c r="C125" s="4">
        <v>11092.6</v>
      </c>
      <c r="D125" s="3">
        <v>10186.68</v>
      </c>
      <c r="E125" s="3">
        <f>C125-D125</f>
        <v>905.92000000000007</v>
      </c>
      <c r="F125" s="28">
        <f t="shared" si="3"/>
        <v>8.8931820769868108E-2</v>
      </c>
    </row>
    <row r="126" spans="1:6" x14ac:dyDescent="0.2">
      <c r="A126" s="27">
        <v>45782</v>
      </c>
      <c r="B126" s="15" t="str">
        <f t="shared" si="2"/>
        <v>Mon</v>
      </c>
      <c r="C126" s="4">
        <v>17959.8</v>
      </c>
      <c r="D126" s="3">
        <v>5440.4000000000005</v>
      </c>
      <c r="E126" s="3">
        <f>C126-D126</f>
        <v>12519.399999999998</v>
      </c>
      <c r="F126" s="28">
        <f t="shared" si="3"/>
        <v>2.3011910888905223</v>
      </c>
    </row>
    <row r="127" spans="1:6" x14ac:dyDescent="0.2">
      <c r="A127" s="27">
        <v>45783</v>
      </c>
      <c r="B127" s="15" t="str">
        <f t="shared" si="2"/>
        <v>Tue</v>
      </c>
      <c r="C127" s="4">
        <v>9109.4</v>
      </c>
      <c r="D127" s="3">
        <v>9140.8100000000013</v>
      </c>
      <c r="E127" s="3">
        <f>C127-D127</f>
        <v>-31.410000000001673</v>
      </c>
      <c r="F127" s="28">
        <f t="shared" si="3"/>
        <v>-3.4362381451973805E-3</v>
      </c>
    </row>
    <row r="128" spans="1:6" x14ac:dyDescent="0.2">
      <c r="A128" s="27">
        <v>45784</v>
      </c>
      <c r="B128" s="15" t="str">
        <f t="shared" si="2"/>
        <v>Wed</v>
      </c>
      <c r="C128" s="4">
        <v>10833.599999999999</v>
      </c>
      <c r="D128" s="3">
        <v>2692.0600000000004</v>
      </c>
      <c r="E128" s="3">
        <f>C128-D128</f>
        <v>8141.5399999999981</v>
      </c>
      <c r="F128" s="28">
        <f t="shared" si="3"/>
        <v>3.0242788050786373</v>
      </c>
    </row>
    <row r="129" spans="1:6" x14ac:dyDescent="0.2">
      <c r="A129" s="27">
        <v>45785</v>
      </c>
      <c r="B129" s="15" t="str">
        <f t="shared" si="2"/>
        <v>Thu</v>
      </c>
      <c r="C129" s="4">
        <v>5875.5999999999995</v>
      </c>
      <c r="D129" s="3">
        <v>5632.6900000000005</v>
      </c>
      <c r="E129" s="3">
        <f>C129-D129</f>
        <v>242.90999999999894</v>
      </c>
      <c r="F129" s="28">
        <f t="shared" si="3"/>
        <v>4.3125043274172541E-2</v>
      </c>
    </row>
    <row r="130" spans="1:6" x14ac:dyDescent="0.2">
      <c r="A130" s="27">
        <v>45786</v>
      </c>
      <c r="B130" s="15" t="str">
        <f t="shared" si="2"/>
        <v>Fri</v>
      </c>
      <c r="C130" s="4">
        <v>10796.6</v>
      </c>
      <c r="D130" s="3">
        <v>7738.5</v>
      </c>
      <c r="E130" s="3">
        <f>C130-D130</f>
        <v>3058.1000000000004</v>
      </c>
      <c r="F130" s="28">
        <f t="shared" si="3"/>
        <v>0.39517994443367582</v>
      </c>
    </row>
    <row r="131" spans="1:6" x14ac:dyDescent="0.2">
      <c r="A131" s="27">
        <v>45787</v>
      </c>
      <c r="B131" s="15" t="str">
        <f t="shared" ref="B131:B194" si="4">TEXT(A131,"ddd")</f>
        <v>Sat</v>
      </c>
      <c r="C131" s="4">
        <v>15858.199999999999</v>
      </c>
      <c r="D131" s="3">
        <v>7152.2500000000009</v>
      </c>
      <c r="E131" s="3">
        <f>C131-D131</f>
        <v>8705.9499999999971</v>
      </c>
      <c r="F131" s="28">
        <f t="shared" ref="F131:F194" si="5">IF(D131=0,0,(C131-D131)/D131)</f>
        <v>1.2172323394735918</v>
      </c>
    </row>
    <row r="132" spans="1:6" x14ac:dyDescent="0.2">
      <c r="A132" s="27">
        <v>45788</v>
      </c>
      <c r="B132" s="15" t="str">
        <f t="shared" si="4"/>
        <v>Sun</v>
      </c>
      <c r="C132" s="4">
        <v>12528.199999999999</v>
      </c>
      <c r="D132" s="3">
        <v>2832.76</v>
      </c>
      <c r="E132" s="3">
        <f>C132-D132</f>
        <v>9695.4399999999987</v>
      </c>
      <c r="F132" s="28">
        <f t="shared" si="5"/>
        <v>3.422612575721204</v>
      </c>
    </row>
    <row r="133" spans="1:6" x14ac:dyDescent="0.2">
      <c r="A133" s="27">
        <v>45789</v>
      </c>
      <c r="B133" s="15" t="str">
        <f t="shared" si="4"/>
        <v>Mon</v>
      </c>
      <c r="C133" s="4">
        <v>13179.400000000001</v>
      </c>
      <c r="D133" s="3">
        <v>10454.01</v>
      </c>
      <c r="E133" s="3">
        <f>C133-D133</f>
        <v>2725.3900000000012</v>
      </c>
      <c r="F133" s="28">
        <f t="shared" si="5"/>
        <v>0.26070283077976786</v>
      </c>
    </row>
    <row r="134" spans="1:6" x14ac:dyDescent="0.2">
      <c r="A134" s="27">
        <v>45790</v>
      </c>
      <c r="B134" s="15" t="str">
        <f t="shared" si="4"/>
        <v>Tue</v>
      </c>
      <c r="C134" s="4">
        <v>10485.8</v>
      </c>
      <c r="D134" s="3">
        <v>11560.850000000002</v>
      </c>
      <c r="E134" s="3">
        <f>C134-D134</f>
        <v>-1075.0500000000029</v>
      </c>
      <c r="F134" s="28">
        <f t="shared" si="5"/>
        <v>-9.2990567302577473E-2</v>
      </c>
    </row>
    <row r="135" spans="1:6" x14ac:dyDescent="0.2">
      <c r="A135" s="27">
        <v>45791</v>
      </c>
      <c r="B135" s="15" t="str">
        <f t="shared" si="4"/>
        <v>Wed</v>
      </c>
      <c r="C135" s="4">
        <v>2294</v>
      </c>
      <c r="D135" s="3">
        <v>3676.9600000000005</v>
      </c>
      <c r="E135" s="3">
        <f>C135-D135</f>
        <v>-1382.9600000000005</v>
      </c>
      <c r="F135" s="28">
        <f t="shared" si="5"/>
        <v>-0.37611505156433583</v>
      </c>
    </row>
    <row r="136" spans="1:6" x14ac:dyDescent="0.2">
      <c r="A136" s="27">
        <v>45792</v>
      </c>
      <c r="B136" s="15" t="str">
        <f t="shared" si="4"/>
        <v>Thu</v>
      </c>
      <c r="C136" s="4">
        <v>13223.8</v>
      </c>
      <c r="D136" s="3">
        <v>8554.5600000000013</v>
      </c>
      <c r="E136" s="3">
        <f>C136-D136</f>
        <v>4669.239999999998</v>
      </c>
      <c r="F136" s="28">
        <f t="shared" si="5"/>
        <v>0.54581883814012611</v>
      </c>
    </row>
    <row r="137" spans="1:6" x14ac:dyDescent="0.2">
      <c r="A137" s="27">
        <v>45793</v>
      </c>
      <c r="B137" s="15" t="str">
        <f t="shared" si="4"/>
        <v>Fri</v>
      </c>
      <c r="C137" s="4">
        <v>10441.400000000001</v>
      </c>
      <c r="D137" s="3">
        <v>6233.01</v>
      </c>
      <c r="E137" s="3">
        <f>C137-D137</f>
        <v>4208.3900000000012</v>
      </c>
      <c r="F137" s="28">
        <f t="shared" si="5"/>
        <v>0.67517780334060129</v>
      </c>
    </row>
    <row r="138" spans="1:6" x14ac:dyDescent="0.2">
      <c r="A138" s="27">
        <v>45794</v>
      </c>
      <c r="B138" s="15" t="str">
        <f t="shared" si="4"/>
        <v>Sat</v>
      </c>
      <c r="C138" s="4">
        <v>10323</v>
      </c>
      <c r="D138" s="3">
        <v>6322.1200000000008</v>
      </c>
      <c r="E138" s="3">
        <f>C138-D138</f>
        <v>4000.8799999999992</v>
      </c>
      <c r="F138" s="28">
        <f t="shared" si="5"/>
        <v>0.63283835169215374</v>
      </c>
    </row>
    <row r="139" spans="1:6" x14ac:dyDescent="0.2">
      <c r="A139" s="27">
        <v>45795</v>
      </c>
      <c r="B139" s="15" t="str">
        <f t="shared" si="4"/>
        <v>Sun</v>
      </c>
      <c r="C139" s="4">
        <v>16368.8</v>
      </c>
      <c r="D139" s="3">
        <v>6922.4400000000005</v>
      </c>
      <c r="E139" s="3">
        <f>C139-D139</f>
        <v>9446.3599999999988</v>
      </c>
      <c r="F139" s="28">
        <f t="shared" si="5"/>
        <v>1.3645997654006388</v>
      </c>
    </row>
    <row r="140" spans="1:6" x14ac:dyDescent="0.2">
      <c r="A140" s="27">
        <v>45796</v>
      </c>
      <c r="B140" s="15" t="str">
        <f t="shared" si="4"/>
        <v>Mon</v>
      </c>
      <c r="C140" s="4">
        <v>12883.4</v>
      </c>
      <c r="D140" s="3">
        <v>5140.2400000000007</v>
      </c>
      <c r="E140" s="3">
        <f>C140-D140</f>
        <v>7743.1599999999989</v>
      </c>
      <c r="F140" s="28">
        <f t="shared" si="5"/>
        <v>1.506381025010505</v>
      </c>
    </row>
    <row r="141" spans="1:6" x14ac:dyDescent="0.2">
      <c r="A141" s="27">
        <v>45797</v>
      </c>
      <c r="B141" s="15" t="str">
        <f t="shared" si="4"/>
        <v>Tue</v>
      </c>
      <c r="C141" s="4">
        <v>14363.4</v>
      </c>
      <c r="D141" s="3">
        <v>7518.07</v>
      </c>
      <c r="E141" s="3">
        <f>C141-D141</f>
        <v>6845.33</v>
      </c>
      <c r="F141" s="28">
        <f t="shared" si="5"/>
        <v>0.91051692788175687</v>
      </c>
    </row>
    <row r="142" spans="1:6" x14ac:dyDescent="0.2">
      <c r="A142" s="27">
        <v>45798</v>
      </c>
      <c r="B142" s="15" t="str">
        <f t="shared" si="4"/>
        <v>Wed</v>
      </c>
      <c r="C142" s="4">
        <v>1657.6</v>
      </c>
      <c r="D142" s="3">
        <v>8442</v>
      </c>
      <c r="E142" s="3">
        <f>C142-D142</f>
        <v>-6784.4</v>
      </c>
      <c r="F142" s="28">
        <f t="shared" si="5"/>
        <v>-0.80364842454394692</v>
      </c>
    </row>
    <row r="143" spans="1:6" x14ac:dyDescent="0.2">
      <c r="A143" s="27">
        <v>45799</v>
      </c>
      <c r="B143" s="15" t="str">
        <f t="shared" si="4"/>
        <v>Thu</v>
      </c>
      <c r="C143" s="4">
        <v>5557.4</v>
      </c>
      <c r="D143" s="3">
        <v>6261.1500000000005</v>
      </c>
      <c r="E143" s="3">
        <f>C143-D143</f>
        <v>-703.75000000000091</v>
      </c>
      <c r="F143" s="28">
        <f t="shared" si="5"/>
        <v>-0.11239947932887742</v>
      </c>
    </row>
    <row r="144" spans="1:6" x14ac:dyDescent="0.2">
      <c r="A144" s="27">
        <v>45800</v>
      </c>
      <c r="B144" s="15" t="str">
        <f t="shared" si="4"/>
        <v>Fri</v>
      </c>
      <c r="C144" s="4">
        <v>5305.8</v>
      </c>
      <c r="D144" s="3">
        <v>4553.9900000000007</v>
      </c>
      <c r="E144" s="3">
        <f>C144-D144</f>
        <v>751.80999999999949</v>
      </c>
      <c r="F144" s="28">
        <f t="shared" si="5"/>
        <v>0.16508819738295416</v>
      </c>
    </row>
    <row r="145" spans="1:6" x14ac:dyDescent="0.2">
      <c r="A145" s="27">
        <v>45801</v>
      </c>
      <c r="B145" s="15" t="str">
        <f t="shared" si="4"/>
        <v>Sat</v>
      </c>
      <c r="C145" s="4">
        <v>11766</v>
      </c>
      <c r="D145" s="3">
        <v>9159.57</v>
      </c>
      <c r="E145" s="3">
        <f>C145-D145</f>
        <v>2606.4300000000003</v>
      </c>
      <c r="F145" s="28">
        <f t="shared" si="5"/>
        <v>0.28455811790291469</v>
      </c>
    </row>
    <row r="146" spans="1:6" x14ac:dyDescent="0.2">
      <c r="A146" s="27">
        <v>45802</v>
      </c>
      <c r="B146" s="15" t="str">
        <f t="shared" si="4"/>
        <v>Sun</v>
      </c>
      <c r="C146" s="4">
        <v>11566.199999999999</v>
      </c>
      <c r="D146" s="3">
        <v>5440.4000000000005</v>
      </c>
      <c r="E146" s="3">
        <f>C146-D146</f>
        <v>6125.7999999999984</v>
      </c>
      <c r="F146" s="28">
        <f t="shared" si="5"/>
        <v>1.1259833835747368</v>
      </c>
    </row>
    <row r="147" spans="1:6" x14ac:dyDescent="0.2">
      <c r="A147" s="27">
        <v>45803</v>
      </c>
      <c r="B147" s="15" t="str">
        <f t="shared" si="4"/>
        <v>Mon</v>
      </c>
      <c r="C147" s="4">
        <v>6275.2</v>
      </c>
      <c r="D147" s="3">
        <v>3859.8700000000008</v>
      </c>
      <c r="E147" s="3">
        <f>C147-D147</f>
        <v>2415.329999999999</v>
      </c>
      <c r="F147" s="28">
        <f t="shared" si="5"/>
        <v>0.62575423524626439</v>
      </c>
    </row>
    <row r="148" spans="1:6" x14ac:dyDescent="0.2">
      <c r="A148" s="27">
        <v>45804</v>
      </c>
      <c r="B148" s="15" t="str">
        <f t="shared" si="4"/>
        <v>Tue</v>
      </c>
      <c r="C148" s="4">
        <v>12876</v>
      </c>
      <c r="D148" s="3">
        <v>16508.8</v>
      </c>
      <c r="E148" s="3">
        <f>C148-D148</f>
        <v>-3632.7999999999993</v>
      </c>
      <c r="F148" s="28">
        <f t="shared" si="5"/>
        <v>-0.22005233572397748</v>
      </c>
    </row>
    <row r="149" spans="1:6" x14ac:dyDescent="0.2">
      <c r="A149" s="27">
        <v>45805</v>
      </c>
      <c r="B149" s="15" t="str">
        <f t="shared" si="4"/>
        <v>Wed</v>
      </c>
      <c r="C149" s="4">
        <v>6896.7999999999993</v>
      </c>
      <c r="D149" s="3">
        <v>961.44999999999993</v>
      </c>
      <c r="E149" s="3">
        <f>C149-D149</f>
        <v>5935.3499999999995</v>
      </c>
      <c r="F149" s="28">
        <f t="shared" si="5"/>
        <v>6.1733319465390819</v>
      </c>
    </row>
    <row r="150" spans="1:6" x14ac:dyDescent="0.2">
      <c r="A150" s="27">
        <v>45806</v>
      </c>
      <c r="B150" s="15" t="str">
        <f t="shared" si="4"/>
        <v>Thu</v>
      </c>
      <c r="C150" s="4">
        <v>7955</v>
      </c>
      <c r="D150" s="3">
        <v>6115.76</v>
      </c>
      <c r="E150" s="3">
        <f>C150-D150</f>
        <v>1839.2399999999998</v>
      </c>
      <c r="F150" s="28">
        <f t="shared" si="5"/>
        <v>0.30073776603398428</v>
      </c>
    </row>
    <row r="151" spans="1:6" x14ac:dyDescent="0.2">
      <c r="A151" s="27">
        <v>45807</v>
      </c>
      <c r="B151" s="15" t="str">
        <f t="shared" si="4"/>
        <v>Fri</v>
      </c>
      <c r="C151" s="4">
        <v>7444.4</v>
      </c>
      <c r="D151" s="3">
        <v>6570.6900000000005</v>
      </c>
      <c r="E151" s="3">
        <f>C151-D151</f>
        <v>873.70999999999913</v>
      </c>
      <c r="F151" s="28">
        <f t="shared" si="5"/>
        <v>0.13297081432847982</v>
      </c>
    </row>
    <row r="152" spans="1:6" x14ac:dyDescent="0.2">
      <c r="A152" s="27">
        <v>45808</v>
      </c>
      <c r="B152" s="15" t="str">
        <f t="shared" si="4"/>
        <v>Sat</v>
      </c>
      <c r="C152" s="4">
        <v>6711.7999999999993</v>
      </c>
      <c r="D152" s="3">
        <v>1936.9700000000003</v>
      </c>
      <c r="E152" s="3">
        <f>C152-D152</f>
        <v>4774.829999999999</v>
      </c>
      <c r="F152" s="28">
        <f t="shared" si="5"/>
        <v>2.4651027119676598</v>
      </c>
    </row>
    <row r="153" spans="1:6" x14ac:dyDescent="0.2">
      <c r="A153" s="27">
        <v>45809</v>
      </c>
      <c r="B153" s="15" t="str">
        <f t="shared" si="4"/>
        <v>Sun</v>
      </c>
      <c r="C153" s="4">
        <v>7237.2000000000007</v>
      </c>
      <c r="D153" s="3">
        <v>2964.08</v>
      </c>
      <c r="E153" s="3">
        <f>C153-D153</f>
        <v>4273.1200000000008</v>
      </c>
      <c r="F153" s="28">
        <f t="shared" si="5"/>
        <v>1.4416345037920706</v>
      </c>
    </row>
    <row r="154" spans="1:6" x14ac:dyDescent="0.2">
      <c r="A154" s="27">
        <v>45810</v>
      </c>
      <c r="B154" s="15" t="str">
        <f t="shared" si="4"/>
        <v>Mon</v>
      </c>
      <c r="C154" s="4">
        <v>2168.1999999999998</v>
      </c>
      <c r="D154" s="3">
        <v>8690.57</v>
      </c>
      <c r="E154" s="3">
        <f>C154-D154</f>
        <v>-6522.37</v>
      </c>
      <c r="F154" s="28">
        <f t="shared" si="5"/>
        <v>-0.75051118626281133</v>
      </c>
    </row>
    <row r="155" spans="1:6" x14ac:dyDescent="0.2">
      <c r="A155" s="27">
        <v>45811</v>
      </c>
      <c r="B155" s="15" t="str">
        <f t="shared" si="4"/>
        <v>Tue</v>
      </c>
      <c r="C155" s="4">
        <v>17885.8</v>
      </c>
      <c r="D155" s="3">
        <v>14539</v>
      </c>
      <c r="E155" s="3">
        <f>C155-D155</f>
        <v>3346.7999999999993</v>
      </c>
      <c r="F155" s="28">
        <f t="shared" si="5"/>
        <v>0.23019464887543842</v>
      </c>
    </row>
    <row r="156" spans="1:6" x14ac:dyDescent="0.2">
      <c r="A156" s="27">
        <v>45812</v>
      </c>
      <c r="B156" s="15" t="str">
        <f t="shared" si="4"/>
        <v>Wed</v>
      </c>
      <c r="C156" s="4">
        <v>3056.2</v>
      </c>
      <c r="D156" s="3">
        <v>1716.5400000000002</v>
      </c>
      <c r="E156" s="3">
        <f>C156-D156</f>
        <v>1339.6599999999996</v>
      </c>
      <c r="F156" s="28">
        <f t="shared" si="5"/>
        <v>0.78044205203490713</v>
      </c>
    </row>
    <row r="157" spans="1:6" x14ac:dyDescent="0.2">
      <c r="A157" s="27">
        <v>45813</v>
      </c>
      <c r="B157" s="15" t="str">
        <f t="shared" si="4"/>
        <v>Thu</v>
      </c>
      <c r="C157" s="4">
        <v>10693</v>
      </c>
      <c r="D157" s="3">
        <v>7902.6500000000005</v>
      </c>
      <c r="E157" s="3">
        <f>C157-D157</f>
        <v>2790.3499999999995</v>
      </c>
      <c r="F157" s="28">
        <f t="shared" si="5"/>
        <v>0.35309041903665217</v>
      </c>
    </row>
    <row r="158" spans="1:6" x14ac:dyDescent="0.2">
      <c r="A158" s="27">
        <v>45814</v>
      </c>
      <c r="B158" s="15" t="str">
        <f t="shared" si="4"/>
        <v>Fri</v>
      </c>
      <c r="C158" s="4">
        <v>11381.199999999999</v>
      </c>
      <c r="D158" s="3">
        <v>7508.6900000000005</v>
      </c>
      <c r="E158" s="3">
        <f>C158-D158</f>
        <v>3872.5099999999984</v>
      </c>
      <c r="F158" s="28">
        <f t="shared" si="5"/>
        <v>0.51573709928096623</v>
      </c>
    </row>
    <row r="159" spans="1:6" x14ac:dyDescent="0.2">
      <c r="A159" s="27">
        <v>45815</v>
      </c>
      <c r="B159" s="15" t="str">
        <f t="shared" si="4"/>
        <v>Sat</v>
      </c>
      <c r="C159" s="4">
        <v>5727.6</v>
      </c>
      <c r="D159" s="3">
        <v>6884.92</v>
      </c>
      <c r="E159" s="3">
        <f>C159-D159</f>
        <v>-1157.3199999999997</v>
      </c>
      <c r="F159" s="28">
        <f t="shared" si="5"/>
        <v>-0.16809490887330567</v>
      </c>
    </row>
    <row r="160" spans="1:6" x14ac:dyDescent="0.2">
      <c r="A160" s="27">
        <v>45816</v>
      </c>
      <c r="B160" s="15" t="str">
        <f t="shared" si="4"/>
        <v>Sun</v>
      </c>
      <c r="C160" s="4">
        <v>12402.4</v>
      </c>
      <c r="D160" s="3">
        <v>9239.3000000000011</v>
      </c>
      <c r="E160" s="3">
        <f>C160-D160</f>
        <v>3163.0999999999985</v>
      </c>
      <c r="F160" s="28">
        <f t="shared" si="5"/>
        <v>0.34235277564317623</v>
      </c>
    </row>
    <row r="161" spans="1:6" x14ac:dyDescent="0.2">
      <c r="A161" s="27">
        <v>45817</v>
      </c>
      <c r="B161" s="15" t="str">
        <f t="shared" si="4"/>
        <v>Mon</v>
      </c>
      <c r="C161" s="4">
        <v>10212</v>
      </c>
      <c r="D161" s="3">
        <v>10482.15</v>
      </c>
      <c r="E161" s="3">
        <f>C161-D161</f>
        <v>-270.14999999999964</v>
      </c>
      <c r="F161" s="28">
        <f t="shared" si="5"/>
        <v>-2.5772384482191119E-2</v>
      </c>
    </row>
    <row r="162" spans="1:6" x14ac:dyDescent="0.2">
      <c r="A162" s="27">
        <v>45818</v>
      </c>
      <c r="B162" s="15" t="str">
        <f t="shared" si="4"/>
        <v>Tue</v>
      </c>
      <c r="C162" s="4">
        <v>8487.7999999999993</v>
      </c>
      <c r="D162" s="3">
        <v>9820.86</v>
      </c>
      <c r="E162" s="3">
        <f>C162-D162</f>
        <v>-1333.0600000000013</v>
      </c>
      <c r="F162" s="28">
        <f t="shared" si="5"/>
        <v>-0.13573760342780583</v>
      </c>
    </row>
    <row r="163" spans="1:6" x14ac:dyDescent="0.2">
      <c r="A163" s="27">
        <v>45819</v>
      </c>
      <c r="B163" s="15" t="str">
        <f t="shared" si="4"/>
        <v>Wed</v>
      </c>
      <c r="C163" s="4">
        <v>4218</v>
      </c>
      <c r="D163" s="3">
        <v>3475.29</v>
      </c>
      <c r="E163" s="3">
        <f>C163-D163</f>
        <v>742.71</v>
      </c>
      <c r="F163" s="28">
        <f t="shared" si="5"/>
        <v>0.2137116614728555</v>
      </c>
    </row>
    <row r="164" spans="1:6" x14ac:dyDescent="0.2">
      <c r="A164" s="27">
        <v>45820</v>
      </c>
      <c r="B164" s="15" t="str">
        <f t="shared" si="4"/>
        <v>Thu</v>
      </c>
      <c r="C164" s="4">
        <v>10508</v>
      </c>
      <c r="D164" s="3">
        <v>7396.130000000001</v>
      </c>
      <c r="E164" s="3">
        <f>C164-D164</f>
        <v>3111.869999999999</v>
      </c>
      <c r="F164" s="28">
        <f t="shared" si="5"/>
        <v>0.42074301019587251</v>
      </c>
    </row>
    <row r="165" spans="1:6" x14ac:dyDescent="0.2">
      <c r="A165" s="27">
        <v>45821</v>
      </c>
      <c r="B165" s="15" t="str">
        <f t="shared" si="4"/>
        <v>Fri</v>
      </c>
      <c r="C165" s="4">
        <v>7163.1999999999989</v>
      </c>
      <c r="D165" s="3">
        <v>9928.7300000000014</v>
      </c>
      <c r="E165" s="3">
        <f>C165-D165</f>
        <v>-2765.5300000000025</v>
      </c>
      <c r="F165" s="28">
        <f t="shared" si="5"/>
        <v>-0.27853814133328253</v>
      </c>
    </row>
    <row r="166" spans="1:6" x14ac:dyDescent="0.2">
      <c r="A166" s="27">
        <v>45822</v>
      </c>
      <c r="B166" s="15" t="str">
        <f t="shared" si="4"/>
        <v>Sat</v>
      </c>
      <c r="C166" s="4">
        <v>6859.8</v>
      </c>
      <c r="D166" s="3">
        <v>13521.27</v>
      </c>
      <c r="E166" s="3">
        <f>C166-D166</f>
        <v>-6661.47</v>
      </c>
      <c r="F166" s="28">
        <f t="shared" si="5"/>
        <v>-0.49266599956956708</v>
      </c>
    </row>
    <row r="167" spans="1:6" x14ac:dyDescent="0.2">
      <c r="A167" s="27">
        <v>45823</v>
      </c>
      <c r="B167" s="15" t="str">
        <f t="shared" si="4"/>
        <v>Sun</v>
      </c>
      <c r="C167" s="4">
        <v>7940.2</v>
      </c>
      <c r="D167" s="3">
        <v>9248.68</v>
      </c>
      <c r="E167" s="3">
        <f>C167-D167</f>
        <v>-1308.4800000000005</v>
      </c>
      <c r="F167" s="28">
        <f t="shared" si="5"/>
        <v>-0.1414774865169949</v>
      </c>
    </row>
    <row r="168" spans="1:6" x14ac:dyDescent="0.2">
      <c r="A168" s="27">
        <v>45824</v>
      </c>
      <c r="B168" s="15" t="str">
        <f t="shared" si="4"/>
        <v>Mon</v>
      </c>
      <c r="C168" s="4">
        <v>6475</v>
      </c>
      <c r="D168" s="3">
        <v>7715.0500000000011</v>
      </c>
      <c r="E168" s="3">
        <f>C168-D168</f>
        <v>-1240.0500000000011</v>
      </c>
      <c r="F168" s="28">
        <f t="shared" si="5"/>
        <v>-0.16073129791770643</v>
      </c>
    </row>
    <row r="169" spans="1:6" x14ac:dyDescent="0.2">
      <c r="A169" s="27">
        <v>45825</v>
      </c>
      <c r="B169" s="15" t="str">
        <f t="shared" si="4"/>
        <v>Tue</v>
      </c>
      <c r="C169" s="4">
        <v>12395</v>
      </c>
      <c r="D169" s="3">
        <v>7222.5999999999995</v>
      </c>
      <c r="E169" s="3">
        <f>C169-D169</f>
        <v>5172.4000000000005</v>
      </c>
      <c r="F169" s="28">
        <f t="shared" si="5"/>
        <v>0.71614100185528773</v>
      </c>
    </row>
    <row r="170" spans="1:6" x14ac:dyDescent="0.2">
      <c r="A170" s="27">
        <v>45826</v>
      </c>
      <c r="B170" s="15" t="str">
        <f t="shared" si="4"/>
        <v>Wed</v>
      </c>
      <c r="C170" s="4">
        <v>3907.2</v>
      </c>
      <c r="D170" s="3">
        <v>2429.42</v>
      </c>
      <c r="E170" s="3">
        <f>C170-D170</f>
        <v>1477.7799999999997</v>
      </c>
      <c r="F170" s="28">
        <f t="shared" si="5"/>
        <v>0.60828510508681077</v>
      </c>
    </row>
    <row r="171" spans="1:6" x14ac:dyDescent="0.2">
      <c r="A171" s="27">
        <v>45827</v>
      </c>
      <c r="B171" s="15" t="str">
        <f t="shared" si="4"/>
        <v>Thu</v>
      </c>
      <c r="C171" s="4">
        <v>11854.8</v>
      </c>
      <c r="D171" s="3">
        <v>6622.2800000000007</v>
      </c>
      <c r="E171" s="3">
        <f>C171-D171</f>
        <v>5232.5199999999986</v>
      </c>
      <c r="F171" s="28">
        <f t="shared" si="5"/>
        <v>0.79013874375592663</v>
      </c>
    </row>
    <row r="172" spans="1:6" x14ac:dyDescent="0.2">
      <c r="A172" s="27">
        <v>45828</v>
      </c>
      <c r="B172" s="15" t="str">
        <f t="shared" si="4"/>
        <v>Fri</v>
      </c>
      <c r="C172" s="4">
        <v>10471</v>
      </c>
      <c r="D172" s="3">
        <v>6974.0300000000007</v>
      </c>
      <c r="E172" s="3">
        <f>C172-D172</f>
        <v>3496.9699999999993</v>
      </c>
      <c r="F172" s="28">
        <f t="shared" si="5"/>
        <v>0.50142743865455108</v>
      </c>
    </row>
    <row r="173" spans="1:6" x14ac:dyDescent="0.2">
      <c r="A173" s="27">
        <v>45829</v>
      </c>
      <c r="B173" s="15" t="str">
        <f t="shared" si="4"/>
        <v>Sat</v>
      </c>
      <c r="C173" s="4">
        <v>8140</v>
      </c>
      <c r="D173" s="3">
        <v>4328.8700000000008</v>
      </c>
      <c r="E173" s="3">
        <f>C173-D173</f>
        <v>3811.1299999999992</v>
      </c>
      <c r="F173" s="28">
        <f t="shared" si="5"/>
        <v>0.88039834876076173</v>
      </c>
    </row>
    <row r="174" spans="1:6" x14ac:dyDescent="0.2">
      <c r="A174" s="27">
        <v>45830</v>
      </c>
      <c r="B174" s="15" t="str">
        <f t="shared" si="4"/>
        <v>Sun</v>
      </c>
      <c r="C174" s="4">
        <v>6512</v>
      </c>
      <c r="D174" s="3">
        <v>12362.84</v>
      </c>
      <c r="E174" s="3">
        <f>C174-D174</f>
        <v>-5850.84</v>
      </c>
      <c r="F174" s="28">
        <f t="shared" si="5"/>
        <v>-0.47326018940631764</v>
      </c>
    </row>
    <row r="175" spans="1:6" x14ac:dyDescent="0.2">
      <c r="A175" s="27">
        <v>45831</v>
      </c>
      <c r="B175" s="15" t="str">
        <f t="shared" si="4"/>
        <v>Mon</v>
      </c>
      <c r="C175" s="4">
        <v>12831.6</v>
      </c>
      <c r="D175" s="3">
        <v>12817.77</v>
      </c>
      <c r="E175" s="3">
        <f>C175-D175</f>
        <v>13.829999999999927</v>
      </c>
      <c r="F175" s="28">
        <f t="shared" si="5"/>
        <v>1.0789708350204385E-3</v>
      </c>
    </row>
    <row r="176" spans="1:6" x14ac:dyDescent="0.2">
      <c r="A176" s="27">
        <v>45832</v>
      </c>
      <c r="B176" s="15" t="str">
        <f t="shared" si="4"/>
        <v>Tue</v>
      </c>
      <c r="C176" s="4">
        <v>8739.4</v>
      </c>
      <c r="D176" s="3">
        <v>10533.740000000002</v>
      </c>
      <c r="E176" s="3">
        <f>C176-D176</f>
        <v>-1794.340000000002</v>
      </c>
      <c r="F176" s="28">
        <f t="shared" si="5"/>
        <v>-0.17034215767619115</v>
      </c>
    </row>
    <row r="177" spans="1:6" x14ac:dyDescent="0.2">
      <c r="A177" s="27">
        <v>45833</v>
      </c>
      <c r="B177" s="15" t="str">
        <f t="shared" si="4"/>
        <v>Wed</v>
      </c>
      <c r="C177" s="4">
        <v>7821.7999999999993</v>
      </c>
      <c r="D177" s="3">
        <v>3015.67</v>
      </c>
      <c r="E177" s="3">
        <f>C177-D177</f>
        <v>4806.1299999999992</v>
      </c>
      <c r="F177" s="28">
        <f t="shared" si="5"/>
        <v>1.5937188087555996</v>
      </c>
    </row>
    <row r="178" spans="1:6" x14ac:dyDescent="0.2">
      <c r="A178" s="27">
        <v>45834</v>
      </c>
      <c r="B178" s="15" t="str">
        <f t="shared" si="4"/>
        <v>Thu</v>
      </c>
      <c r="C178" s="4">
        <v>14052.6</v>
      </c>
      <c r="D178" s="3">
        <v>7700.9800000000005</v>
      </c>
      <c r="E178" s="3">
        <f>C178-D178</f>
        <v>6351.62</v>
      </c>
      <c r="F178" s="28">
        <f t="shared" si="5"/>
        <v>0.82478074219125352</v>
      </c>
    </row>
    <row r="179" spans="1:6" x14ac:dyDescent="0.2">
      <c r="A179" s="27">
        <v>45835</v>
      </c>
      <c r="B179" s="15" t="str">
        <f t="shared" si="4"/>
        <v>Fri</v>
      </c>
      <c r="C179" s="4">
        <v>9427.6</v>
      </c>
      <c r="D179" s="3">
        <v>7424.27</v>
      </c>
      <c r="E179" s="3">
        <f>C179-D179</f>
        <v>2003.33</v>
      </c>
      <c r="F179" s="28">
        <f t="shared" si="5"/>
        <v>0.26983528346894708</v>
      </c>
    </row>
    <row r="180" spans="1:6" x14ac:dyDescent="0.2">
      <c r="A180" s="27">
        <v>45836</v>
      </c>
      <c r="B180" s="15" t="str">
        <f t="shared" si="4"/>
        <v>Sat</v>
      </c>
      <c r="C180" s="4">
        <v>17293.8</v>
      </c>
      <c r="D180" s="3">
        <v>11129.37</v>
      </c>
      <c r="E180" s="3">
        <f>C180-D180</f>
        <v>6164.4299999999985</v>
      </c>
      <c r="F180" s="28">
        <f t="shared" si="5"/>
        <v>0.55388849503610704</v>
      </c>
    </row>
    <row r="181" spans="1:6" x14ac:dyDescent="0.2">
      <c r="A181" s="27">
        <v>45837</v>
      </c>
      <c r="B181" s="15" t="str">
        <f t="shared" si="4"/>
        <v>Sun</v>
      </c>
      <c r="C181" s="4">
        <v>4699</v>
      </c>
      <c r="D181" s="3">
        <v>11284.140000000001</v>
      </c>
      <c r="E181" s="3">
        <f>C181-D181</f>
        <v>-6585.1400000000012</v>
      </c>
      <c r="F181" s="28">
        <f t="shared" si="5"/>
        <v>-0.58357482271577632</v>
      </c>
    </row>
    <row r="182" spans="1:6" x14ac:dyDescent="0.2">
      <c r="A182" s="27">
        <v>45838</v>
      </c>
      <c r="B182" s="15" t="str">
        <f t="shared" si="4"/>
        <v>Mon</v>
      </c>
      <c r="C182" s="4">
        <v>13112.8</v>
      </c>
      <c r="D182" s="3">
        <v>13718.250000000002</v>
      </c>
      <c r="E182" s="3">
        <f>C182-D182</f>
        <v>-605.45000000000255</v>
      </c>
      <c r="F182" s="28">
        <f t="shared" si="5"/>
        <v>-4.4134638164489093E-2</v>
      </c>
    </row>
    <row r="183" spans="1:6" x14ac:dyDescent="0.2">
      <c r="A183" s="27">
        <v>45839</v>
      </c>
      <c r="B183" s="15" t="str">
        <f t="shared" si="4"/>
        <v>Tue</v>
      </c>
      <c r="C183" s="4">
        <v>14814.8</v>
      </c>
      <c r="D183" s="3">
        <v>7550.9000000000005</v>
      </c>
      <c r="E183" s="3">
        <f>C183-D183</f>
        <v>7263.8999999999987</v>
      </c>
      <c r="F183" s="28">
        <f t="shared" si="5"/>
        <v>0.96199128580698967</v>
      </c>
    </row>
    <row r="184" spans="1:6" x14ac:dyDescent="0.2">
      <c r="A184" s="27">
        <v>45840</v>
      </c>
      <c r="B184" s="15" t="str">
        <f t="shared" si="4"/>
        <v>Wed</v>
      </c>
      <c r="C184" s="4">
        <v>3196.8</v>
      </c>
      <c r="D184" s="3">
        <v>3189.2000000000003</v>
      </c>
      <c r="E184" s="3">
        <f>C184-D184</f>
        <v>7.5999999999999091</v>
      </c>
      <c r="F184" s="28">
        <f t="shared" si="5"/>
        <v>2.3830427693465159E-3</v>
      </c>
    </row>
    <row r="185" spans="1:6" x14ac:dyDescent="0.2">
      <c r="A185" s="27">
        <v>45841</v>
      </c>
      <c r="B185" s="15" t="str">
        <f t="shared" si="4"/>
        <v>Thu</v>
      </c>
      <c r="C185" s="4">
        <v>5372.4</v>
      </c>
      <c r="D185" s="3">
        <v>6748.9100000000008</v>
      </c>
      <c r="E185" s="3">
        <f>C185-D185</f>
        <v>-1376.5100000000011</v>
      </c>
      <c r="F185" s="28">
        <f t="shared" si="5"/>
        <v>-0.20396034322579512</v>
      </c>
    </row>
    <row r="186" spans="1:6" x14ac:dyDescent="0.2">
      <c r="A186" s="27">
        <v>45842</v>
      </c>
      <c r="B186" s="15" t="str">
        <f t="shared" si="4"/>
        <v>Fri</v>
      </c>
      <c r="C186" s="4">
        <v>10123.199999999999</v>
      </c>
      <c r="D186" s="3">
        <v>7776.02</v>
      </c>
      <c r="E186" s="3">
        <f>C186-D186</f>
        <v>2347.1799999999985</v>
      </c>
      <c r="F186" s="28">
        <f t="shared" si="5"/>
        <v>0.30184850347607112</v>
      </c>
    </row>
    <row r="187" spans="1:6" x14ac:dyDescent="0.2">
      <c r="A187" s="27">
        <v>45843</v>
      </c>
      <c r="B187" s="15" t="str">
        <f t="shared" si="4"/>
        <v>Sat</v>
      </c>
      <c r="C187" s="4">
        <v>13808.4</v>
      </c>
      <c r="D187" s="3">
        <v>6781.7400000000007</v>
      </c>
      <c r="E187" s="3">
        <f>C187-D187</f>
        <v>7026.6599999999989</v>
      </c>
      <c r="F187" s="28">
        <f t="shared" si="5"/>
        <v>1.0361146254501055</v>
      </c>
    </row>
    <row r="188" spans="1:6" x14ac:dyDescent="0.2">
      <c r="A188" s="27">
        <v>45844</v>
      </c>
      <c r="B188" s="15" t="str">
        <f t="shared" si="4"/>
        <v>Sun</v>
      </c>
      <c r="C188" s="4">
        <v>5764.6</v>
      </c>
      <c r="D188" s="3">
        <v>5355.9800000000005</v>
      </c>
      <c r="E188" s="3">
        <f>C188-D188</f>
        <v>408.61999999999989</v>
      </c>
      <c r="F188" s="28">
        <f t="shared" si="5"/>
        <v>7.6292293847251086E-2</v>
      </c>
    </row>
    <row r="189" spans="1:6" x14ac:dyDescent="0.2">
      <c r="A189" s="27">
        <v>45845</v>
      </c>
      <c r="B189" s="15" t="str">
        <f t="shared" si="4"/>
        <v>Mon</v>
      </c>
      <c r="C189" s="4">
        <v>4602.7999999999993</v>
      </c>
      <c r="D189" s="3">
        <v>9595.7400000000016</v>
      </c>
      <c r="E189" s="3">
        <f>C189-D189</f>
        <v>-4992.9400000000023</v>
      </c>
      <c r="F189" s="28">
        <f t="shared" si="5"/>
        <v>-0.52032881257724795</v>
      </c>
    </row>
    <row r="190" spans="1:6" x14ac:dyDescent="0.2">
      <c r="A190" s="27">
        <v>45846</v>
      </c>
      <c r="B190" s="15" t="str">
        <f t="shared" si="4"/>
        <v>Tue</v>
      </c>
      <c r="C190" s="4">
        <v>14400.4</v>
      </c>
      <c r="D190" s="3">
        <v>8587.39</v>
      </c>
      <c r="E190" s="3">
        <f>C190-D190</f>
        <v>5813.01</v>
      </c>
      <c r="F190" s="28">
        <f t="shared" si="5"/>
        <v>0.6769239547755489</v>
      </c>
    </row>
    <row r="191" spans="1:6" x14ac:dyDescent="0.2">
      <c r="A191" s="27">
        <v>45847</v>
      </c>
      <c r="B191" s="15" t="str">
        <f t="shared" si="4"/>
        <v>Wed</v>
      </c>
      <c r="C191" s="4">
        <v>4543.6000000000004</v>
      </c>
      <c r="D191" s="3">
        <v>2738.96</v>
      </c>
      <c r="E191" s="3">
        <f>C191-D191</f>
        <v>1804.6400000000003</v>
      </c>
      <c r="F191" s="28">
        <f t="shared" si="5"/>
        <v>0.65887782223909819</v>
      </c>
    </row>
    <row r="192" spans="1:6" x14ac:dyDescent="0.2">
      <c r="A192" s="27">
        <v>45848</v>
      </c>
      <c r="B192" s="15" t="str">
        <f t="shared" si="4"/>
        <v>Thu</v>
      </c>
      <c r="C192" s="4">
        <v>9945.5999999999985</v>
      </c>
      <c r="D192" s="3">
        <v>5257.4900000000007</v>
      </c>
      <c r="E192" s="3">
        <f>C192-D192</f>
        <v>4688.1099999999979</v>
      </c>
      <c r="F192" s="28">
        <f t="shared" si="5"/>
        <v>0.89170117299319585</v>
      </c>
    </row>
    <row r="193" spans="1:6" x14ac:dyDescent="0.2">
      <c r="A193" s="27">
        <v>45849</v>
      </c>
      <c r="B193" s="15" t="str">
        <f t="shared" si="4"/>
        <v>Fri</v>
      </c>
      <c r="C193" s="4">
        <v>11373.8</v>
      </c>
      <c r="D193" s="3">
        <v>7569.6600000000008</v>
      </c>
      <c r="E193" s="3">
        <f>C193-D193</f>
        <v>3804.1399999999985</v>
      </c>
      <c r="F193" s="28">
        <f t="shared" si="5"/>
        <v>0.502550973227331</v>
      </c>
    </row>
    <row r="194" spans="1:6" x14ac:dyDescent="0.2">
      <c r="A194" s="27">
        <v>45850</v>
      </c>
      <c r="B194" s="15" t="str">
        <f t="shared" si="4"/>
        <v>Sat</v>
      </c>
      <c r="C194" s="4">
        <v>7777.4</v>
      </c>
      <c r="D194" s="3">
        <v>3325.21</v>
      </c>
      <c r="E194" s="3">
        <f>C194-D194</f>
        <v>4452.1899999999996</v>
      </c>
      <c r="F194" s="28">
        <f t="shared" si="5"/>
        <v>1.338919947913064</v>
      </c>
    </row>
    <row r="195" spans="1:6" x14ac:dyDescent="0.2">
      <c r="A195" s="27">
        <v>45851</v>
      </c>
      <c r="B195" s="15" t="str">
        <f t="shared" ref="B195:B258" si="6">TEXT(A195,"ddd")</f>
        <v>Sun</v>
      </c>
      <c r="C195" s="4">
        <v>9338.7999999999993</v>
      </c>
      <c r="D195" s="3">
        <v>6702.01</v>
      </c>
      <c r="E195" s="3">
        <f>C195-D195</f>
        <v>2636.7899999999991</v>
      </c>
      <c r="F195" s="28">
        <f t="shared" ref="F195:F258" si="7">IF(D195=0,0,(C195-D195)/D195)</f>
        <v>0.39343271645372047</v>
      </c>
    </row>
    <row r="196" spans="1:6" x14ac:dyDescent="0.2">
      <c r="A196" s="27">
        <v>45852</v>
      </c>
      <c r="B196" s="15" t="str">
        <f t="shared" si="6"/>
        <v>Mon</v>
      </c>
      <c r="C196" s="4">
        <v>13512.4</v>
      </c>
      <c r="D196" s="3">
        <v>9642.64</v>
      </c>
      <c r="E196" s="3">
        <f>C196-D196</f>
        <v>3869.76</v>
      </c>
      <c r="F196" s="28">
        <f t="shared" si="7"/>
        <v>0.40131748151958391</v>
      </c>
    </row>
    <row r="197" spans="1:6" x14ac:dyDescent="0.2">
      <c r="A197" s="27">
        <v>45853</v>
      </c>
      <c r="B197" s="15" t="str">
        <f t="shared" si="6"/>
        <v>Tue</v>
      </c>
      <c r="C197" s="4">
        <v>15007.2</v>
      </c>
      <c r="D197" s="3">
        <v>17981.460000000003</v>
      </c>
      <c r="E197" s="3">
        <f>C197-D197</f>
        <v>-2974.260000000002</v>
      </c>
      <c r="F197" s="28">
        <f t="shared" si="7"/>
        <v>-0.16540703591365782</v>
      </c>
    </row>
    <row r="198" spans="1:6" x14ac:dyDescent="0.2">
      <c r="A198" s="27">
        <v>45854</v>
      </c>
      <c r="B198" s="15" t="str">
        <f t="shared" si="6"/>
        <v>Wed</v>
      </c>
      <c r="C198" s="4">
        <v>7992</v>
      </c>
      <c r="D198" s="3">
        <v>4267.9000000000005</v>
      </c>
      <c r="E198" s="3">
        <f>C198-D198</f>
        <v>3724.0999999999995</v>
      </c>
      <c r="F198" s="28">
        <f t="shared" si="7"/>
        <v>0.87258370627240545</v>
      </c>
    </row>
    <row r="199" spans="1:6" x14ac:dyDescent="0.2">
      <c r="A199" s="27">
        <v>45855</v>
      </c>
      <c r="B199" s="15" t="str">
        <f t="shared" si="6"/>
        <v>Thu</v>
      </c>
      <c r="C199" s="4">
        <v>10471</v>
      </c>
      <c r="D199" s="3">
        <v>5454.47</v>
      </c>
      <c r="E199" s="3">
        <f>C199-D199</f>
        <v>5016.53</v>
      </c>
      <c r="F199" s="28">
        <f t="shared" si="7"/>
        <v>0.91970988932013553</v>
      </c>
    </row>
    <row r="200" spans="1:6" x14ac:dyDescent="0.2">
      <c r="A200" s="27">
        <v>45856</v>
      </c>
      <c r="B200" s="15" t="str">
        <f t="shared" si="6"/>
        <v>Fri</v>
      </c>
      <c r="C200" s="4">
        <v>8643.1999999999989</v>
      </c>
      <c r="D200" s="3">
        <v>3334.59</v>
      </c>
      <c r="E200" s="3">
        <f>C200-D200</f>
        <v>5308.6099999999988</v>
      </c>
      <c r="F200" s="28">
        <f t="shared" si="7"/>
        <v>1.591982822475926</v>
      </c>
    </row>
    <row r="201" spans="1:6" x14ac:dyDescent="0.2">
      <c r="A201" s="27">
        <v>45857</v>
      </c>
      <c r="B201" s="15" t="str">
        <f t="shared" si="6"/>
        <v>Sat</v>
      </c>
      <c r="C201" s="4">
        <v>4980.2</v>
      </c>
      <c r="D201" s="3">
        <v>6852.09</v>
      </c>
      <c r="E201" s="3">
        <f>C201-D201</f>
        <v>-1871.8900000000003</v>
      </c>
      <c r="F201" s="28">
        <f t="shared" si="7"/>
        <v>-0.27318526172306556</v>
      </c>
    </row>
    <row r="202" spans="1:6" x14ac:dyDescent="0.2">
      <c r="A202" s="27">
        <v>45858</v>
      </c>
      <c r="B202" s="15" t="str">
        <f t="shared" si="6"/>
        <v>Sun</v>
      </c>
      <c r="C202" s="4">
        <v>5890.4</v>
      </c>
      <c r="D202" s="3">
        <v>7710.3600000000006</v>
      </c>
      <c r="E202" s="3">
        <f>C202-D202</f>
        <v>-1819.9600000000009</v>
      </c>
      <c r="F202" s="28">
        <f t="shared" si="7"/>
        <v>-0.23604085931136817</v>
      </c>
    </row>
    <row r="203" spans="1:6" x14ac:dyDescent="0.2">
      <c r="A203" s="27">
        <v>45859</v>
      </c>
      <c r="B203" s="15" t="str">
        <f t="shared" si="6"/>
        <v>Mon</v>
      </c>
      <c r="C203" s="4">
        <v>7370.4</v>
      </c>
      <c r="D203" s="3">
        <v>4399.22</v>
      </c>
      <c r="E203" s="3">
        <f>C203-D203</f>
        <v>2971.1799999999994</v>
      </c>
      <c r="F203" s="28">
        <f t="shared" si="7"/>
        <v>0.6753879096748967</v>
      </c>
    </row>
    <row r="204" spans="1:6" x14ac:dyDescent="0.2">
      <c r="A204" s="27">
        <v>45860</v>
      </c>
      <c r="B204" s="15" t="str">
        <f t="shared" si="6"/>
        <v>Tue</v>
      </c>
      <c r="C204" s="4">
        <v>12728</v>
      </c>
      <c r="D204" s="3">
        <v>6251.77</v>
      </c>
      <c r="E204" s="3">
        <f>C204-D204</f>
        <v>6476.23</v>
      </c>
      <c r="F204" s="28">
        <f t="shared" si="7"/>
        <v>1.0359034321480156</v>
      </c>
    </row>
    <row r="205" spans="1:6" x14ac:dyDescent="0.2">
      <c r="A205" s="27">
        <v>45861</v>
      </c>
      <c r="B205" s="15" t="str">
        <f t="shared" si="6"/>
        <v>Wed</v>
      </c>
      <c r="C205" s="4">
        <v>8872.6</v>
      </c>
      <c r="D205" s="3">
        <v>1969.8000000000002</v>
      </c>
      <c r="E205" s="3">
        <f>C205-D205</f>
        <v>6902.8</v>
      </c>
      <c r="F205" s="28">
        <f t="shared" si="7"/>
        <v>3.5043151588993804</v>
      </c>
    </row>
    <row r="206" spans="1:6" x14ac:dyDescent="0.2">
      <c r="A206" s="27">
        <v>45862</v>
      </c>
      <c r="B206" s="15" t="str">
        <f t="shared" si="6"/>
        <v>Thu</v>
      </c>
      <c r="C206" s="4">
        <v>5143</v>
      </c>
      <c r="D206" s="3">
        <v>2931.25</v>
      </c>
      <c r="E206" s="3">
        <f>C206-D206</f>
        <v>2211.75</v>
      </c>
      <c r="F206" s="28">
        <f t="shared" si="7"/>
        <v>0.75454157782515996</v>
      </c>
    </row>
    <row r="207" spans="1:6" x14ac:dyDescent="0.2">
      <c r="A207" s="27">
        <v>45863</v>
      </c>
      <c r="B207" s="15" t="str">
        <f t="shared" si="6"/>
        <v>Fri</v>
      </c>
      <c r="C207" s="4">
        <v>4010.7999999999997</v>
      </c>
      <c r="D207" s="3">
        <v>6003.2</v>
      </c>
      <c r="E207" s="3">
        <f>C207-D207</f>
        <v>-1992.4</v>
      </c>
      <c r="F207" s="28">
        <f t="shared" si="7"/>
        <v>-0.3318896588486141</v>
      </c>
    </row>
    <row r="208" spans="1:6" x14ac:dyDescent="0.2">
      <c r="A208" s="27">
        <v>45864</v>
      </c>
      <c r="B208" s="15" t="str">
        <f t="shared" si="6"/>
        <v>Sat</v>
      </c>
      <c r="C208" s="4">
        <v>10071.4</v>
      </c>
      <c r="D208" s="3">
        <v>4188.17</v>
      </c>
      <c r="E208" s="3">
        <f>C208-D208</f>
        <v>5883.23</v>
      </c>
      <c r="F208" s="28">
        <f t="shared" si="7"/>
        <v>1.4047256916505297</v>
      </c>
    </row>
    <row r="209" spans="1:6" x14ac:dyDescent="0.2">
      <c r="A209" s="27">
        <v>45865</v>
      </c>
      <c r="B209" s="15" t="str">
        <f t="shared" si="6"/>
        <v>Sun</v>
      </c>
      <c r="C209" s="4">
        <v>5409.4</v>
      </c>
      <c r="D209" s="3">
        <v>4732.2100000000009</v>
      </c>
      <c r="E209" s="3">
        <f>C209-D209</f>
        <v>677.18999999999869</v>
      </c>
      <c r="F209" s="28">
        <f t="shared" si="7"/>
        <v>0.1431022714545632</v>
      </c>
    </row>
    <row r="210" spans="1:6" x14ac:dyDescent="0.2">
      <c r="A210" s="27">
        <v>45866</v>
      </c>
      <c r="B210" s="15" t="str">
        <f t="shared" si="6"/>
        <v>Mon</v>
      </c>
      <c r="C210" s="4">
        <v>9035.4</v>
      </c>
      <c r="D210" s="3">
        <v>4713.45</v>
      </c>
      <c r="E210" s="3">
        <f>C210-D210</f>
        <v>4321.95</v>
      </c>
      <c r="F210" s="28">
        <f t="shared" si="7"/>
        <v>0.91693982115011297</v>
      </c>
    </row>
    <row r="211" spans="1:6" x14ac:dyDescent="0.2">
      <c r="A211" s="27">
        <v>45867</v>
      </c>
      <c r="B211" s="15" t="str">
        <f t="shared" si="6"/>
        <v>Tue</v>
      </c>
      <c r="C211" s="4">
        <v>13283</v>
      </c>
      <c r="D211" s="3">
        <v>4727.5200000000004</v>
      </c>
      <c r="E211" s="3">
        <f>C211-D211</f>
        <v>8555.48</v>
      </c>
      <c r="F211" s="28">
        <f t="shared" si="7"/>
        <v>1.8097184147290755</v>
      </c>
    </row>
    <row r="212" spans="1:6" x14ac:dyDescent="0.2">
      <c r="A212" s="27">
        <v>45868</v>
      </c>
      <c r="B212" s="15" t="str">
        <f t="shared" si="6"/>
        <v>Wed</v>
      </c>
      <c r="C212" s="4">
        <v>10071.4</v>
      </c>
      <c r="D212" s="3">
        <v>5060.51</v>
      </c>
      <c r="E212" s="3">
        <f>C212-D212</f>
        <v>5010.8899999999994</v>
      </c>
      <c r="F212" s="28">
        <f t="shared" si="7"/>
        <v>0.99019466417416413</v>
      </c>
    </row>
    <row r="213" spans="1:6" x14ac:dyDescent="0.2">
      <c r="A213" s="27">
        <v>45869</v>
      </c>
      <c r="B213" s="15" t="str">
        <f t="shared" si="6"/>
        <v>Thu</v>
      </c>
      <c r="C213" s="4">
        <v>18085.599999999999</v>
      </c>
      <c r="D213" s="3">
        <v>7935.4800000000005</v>
      </c>
      <c r="E213" s="3">
        <f>C213-D213</f>
        <v>10150.119999999999</v>
      </c>
      <c r="F213" s="28">
        <f t="shared" si="7"/>
        <v>1.279080786543473</v>
      </c>
    </row>
    <row r="214" spans="1:6" x14ac:dyDescent="0.2">
      <c r="A214" s="27">
        <v>45870</v>
      </c>
      <c r="B214" s="15" t="str">
        <f t="shared" si="6"/>
        <v>Fri</v>
      </c>
      <c r="C214" s="4">
        <v>5461.2</v>
      </c>
      <c r="D214" s="3">
        <v>5022.9900000000007</v>
      </c>
      <c r="E214" s="3">
        <f>C214-D214</f>
        <v>438.20999999999913</v>
      </c>
      <c r="F214" s="28">
        <f t="shared" si="7"/>
        <v>8.7240866495851888E-2</v>
      </c>
    </row>
    <row r="215" spans="1:6" x14ac:dyDescent="0.2">
      <c r="A215" s="27">
        <v>45871</v>
      </c>
      <c r="B215" s="15" t="str">
        <f t="shared" si="6"/>
        <v>Sat</v>
      </c>
      <c r="C215" s="4">
        <v>12772.4</v>
      </c>
      <c r="D215" s="3">
        <v>7208.53</v>
      </c>
      <c r="E215" s="3">
        <f>C215-D215</f>
        <v>5563.87</v>
      </c>
      <c r="F215" s="28">
        <f t="shared" si="7"/>
        <v>0.77184529994326168</v>
      </c>
    </row>
    <row r="216" spans="1:6" x14ac:dyDescent="0.2">
      <c r="A216" s="27">
        <v>45872</v>
      </c>
      <c r="B216" s="15" t="str">
        <f t="shared" si="6"/>
        <v>Sun</v>
      </c>
      <c r="C216" s="4">
        <v>7074.4</v>
      </c>
      <c r="D216" s="3">
        <v>9572.2900000000009</v>
      </c>
      <c r="E216" s="3">
        <f>C216-D216</f>
        <v>-2497.8900000000012</v>
      </c>
      <c r="F216" s="28">
        <f t="shared" si="7"/>
        <v>-0.26095009658086005</v>
      </c>
    </row>
    <row r="217" spans="1:6" x14ac:dyDescent="0.2">
      <c r="A217" s="27">
        <v>45873</v>
      </c>
      <c r="B217" s="15" t="str">
        <f t="shared" si="6"/>
        <v>Mon</v>
      </c>
      <c r="C217" s="4">
        <v>3855.4</v>
      </c>
      <c r="D217" s="3">
        <v>7180.3899999999994</v>
      </c>
      <c r="E217" s="3">
        <f>C217-D217</f>
        <v>-3324.9899999999993</v>
      </c>
      <c r="F217" s="28">
        <f t="shared" si="7"/>
        <v>-0.46306537667174064</v>
      </c>
    </row>
    <row r="218" spans="1:6" x14ac:dyDescent="0.2">
      <c r="A218" s="27">
        <v>45874</v>
      </c>
      <c r="B218" s="15" t="str">
        <f t="shared" si="6"/>
        <v>Tue</v>
      </c>
      <c r="C218" s="4">
        <v>14644.6</v>
      </c>
      <c r="D218" s="3">
        <v>5435.7100000000009</v>
      </c>
      <c r="E218" s="3">
        <f>C218-D218</f>
        <v>9208.89</v>
      </c>
      <c r="F218" s="28">
        <f t="shared" si="7"/>
        <v>1.6941466708120922</v>
      </c>
    </row>
    <row r="219" spans="1:6" x14ac:dyDescent="0.2">
      <c r="A219" s="27">
        <v>45875</v>
      </c>
      <c r="B219" s="15" t="str">
        <f t="shared" si="6"/>
        <v>Wed</v>
      </c>
      <c r="C219" s="4">
        <v>3559.4</v>
      </c>
      <c r="D219" s="3">
        <v>2424.7300000000005</v>
      </c>
      <c r="E219" s="3">
        <f>C219-D219</f>
        <v>1134.6699999999996</v>
      </c>
      <c r="F219" s="28">
        <f t="shared" si="7"/>
        <v>0.46795725709666619</v>
      </c>
    </row>
    <row r="220" spans="1:6" x14ac:dyDescent="0.2">
      <c r="A220" s="27">
        <v>45876</v>
      </c>
      <c r="B220" s="15" t="str">
        <f t="shared" si="6"/>
        <v>Thu</v>
      </c>
      <c r="C220" s="4">
        <v>7215</v>
      </c>
      <c r="D220" s="3">
        <v>5975.06</v>
      </c>
      <c r="E220" s="3">
        <f>C220-D220</f>
        <v>1239.9399999999996</v>
      </c>
      <c r="F220" s="28">
        <f t="shared" si="7"/>
        <v>0.20751925503676943</v>
      </c>
    </row>
    <row r="221" spans="1:6" x14ac:dyDescent="0.2">
      <c r="A221" s="27">
        <v>45877</v>
      </c>
      <c r="B221" s="15" t="str">
        <f t="shared" si="6"/>
        <v>Fri</v>
      </c>
      <c r="C221" s="4">
        <v>11899.2</v>
      </c>
      <c r="D221" s="3">
        <v>4582.13</v>
      </c>
      <c r="E221" s="3">
        <f>C221-D221</f>
        <v>7317.0700000000006</v>
      </c>
      <c r="F221" s="28">
        <f t="shared" si="7"/>
        <v>1.5968708875566604</v>
      </c>
    </row>
    <row r="222" spans="1:6" x14ac:dyDescent="0.2">
      <c r="A222" s="27">
        <v>45878</v>
      </c>
      <c r="B222" s="15" t="str">
        <f t="shared" si="6"/>
        <v>Sat</v>
      </c>
      <c r="C222" s="4">
        <v>7836.5999999999995</v>
      </c>
      <c r="D222" s="3">
        <v>5487.3000000000011</v>
      </c>
      <c r="E222" s="3">
        <f>C222-D222</f>
        <v>2349.2999999999984</v>
      </c>
      <c r="F222" s="28">
        <f t="shared" si="7"/>
        <v>0.42813405499972623</v>
      </c>
    </row>
    <row r="223" spans="1:6" x14ac:dyDescent="0.2">
      <c r="A223" s="27">
        <v>45879</v>
      </c>
      <c r="B223" s="15" t="str">
        <f t="shared" si="6"/>
        <v>Sun</v>
      </c>
      <c r="C223" s="4">
        <v>6179</v>
      </c>
      <c r="D223" s="3">
        <v>4174.1000000000004</v>
      </c>
      <c r="E223" s="3">
        <f>C223-D223</f>
        <v>2004.8999999999996</v>
      </c>
      <c r="F223" s="28">
        <f t="shared" si="7"/>
        <v>0.48031911070649946</v>
      </c>
    </row>
    <row r="224" spans="1:6" x14ac:dyDescent="0.2">
      <c r="A224" s="27">
        <v>45880</v>
      </c>
      <c r="B224" s="15" t="str">
        <f t="shared" si="6"/>
        <v>Mon</v>
      </c>
      <c r="C224" s="4">
        <v>15451.199999999999</v>
      </c>
      <c r="D224" s="3">
        <v>8507.66</v>
      </c>
      <c r="E224" s="3">
        <f>C224-D224</f>
        <v>6943.5399999999991</v>
      </c>
      <c r="F224" s="28">
        <f t="shared" si="7"/>
        <v>0.81615156223920549</v>
      </c>
    </row>
    <row r="225" spans="1:6" x14ac:dyDescent="0.2">
      <c r="A225" s="27">
        <v>45881</v>
      </c>
      <c r="B225" s="15" t="str">
        <f t="shared" si="6"/>
        <v>Tue</v>
      </c>
      <c r="C225" s="4">
        <v>8458.1999999999989</v>
      </c>
      <c r="D225" s="3">
        <v>11785.970000000001</v>
      </c>
      <c r="E225" s="3">
        <f>C225-D225</f>
        <v>-3327.7700000000023</v>
      </c>
      <c r="F225" s="28">
        <f t="shared" si="7"/>
        <v>-0.28235011628232565</v>
      </c>
    </row>
    <row r="226" spans="1:6" x14ac:dyDescent="0.2">
      <c r="A226" s="27">
        <v>45882</v>
      </c>
      <c r="B226" s="15" t="str">
        <f t="shared" si="6"/>
        <v>Wed</v>
      </c>
      <c r="C226" s="4">
        <v>3500.2</v>
      </c>
      <c r="D226" s="3">
        <v>3503.4300000000003</v>
      </c>
      <c r="E226" s="3">
        <f>C226-D226</f>
        <v>-3.2300000000004729</v>
      </c>
      <c r="F226" s="28">
        <f t="shared" si="7"/>
        <v>-9.219536283015424E-4</v>
      </c>
    </row>
    <row r="227" spans="1:6" x14ac:dyDescent="0.2">
      <c r="A227" s="27">
        <v>45883</v>
      </c>
      <c r="B227" s="15" t="str">
        <f t="shared" si="6"/>
        <v>Thu</v>
      </c>
      <c r="C227" s="4">
        <v>6660</v>
      </c>
      <c r="D227" s="3">
        <v>10552.5</v>
      </c>
      <c r="E227" s="3">
        <f>C227-D227</f>
        <v>-3892.5</v>
      </c>
      <c r="F227" s="28">
        <f t="shared" si="7"/>
        <v>-0.36886993603411516</v>
      </c>
    </row>
    <row r="228" spans="1:6" x14ac:dyDescent="0.2">
      <c r="A228" s="27">
        <v>45884</v>
      </c>
      <c r="B228" s="15" t="str">
        <f t="shared" si="6"/>
        <v>Fri</v>
      </c>
      <c r="C228" s="4">
        <v>4987.6000000000004</v>
      </c>
      <c r="D228" s="3">
        <v>4783.8000000000011</v>
      </c>
      <c r="E228" s="3">
        <f>C228-D228</f>
        <v>203.79999999999927</v>
      </c>
      <c r="F228" s="28">
        <f t="shared" si="7"/>
        <v>4.260211547305473E-2</v>
      </c>
    </row>
    <row r="229" spans="1:6" x14ac:dyDescent="0.2">
      <c r="A229" s="27">
        <v>45885</v>
      </c>
      <c r="B229" s="15" t="str">
        <f t="shared" si="6"/>
        <v>Sat</v>
      </c>
      <c r="C229" s="4">
        <v>5749.8</v>
      </c>
      <c r="D229" s="3">
        <v>3662.89</v>
      </c>
      <c r="E229" s="3">
        <f>C229-D229</f>
        <v>2086.9100000000003</v>
      </c>
      <c r="F229" s="28">
        <f t="shared" si="7"/>
        <v>0.5697441091597073</v>
      </c>
    </row>
    <row r="230" spans="1:6" x14ac:dyDescent="0.2">
      <c r="A230" s="27">
        <v>45886</v>
      </c>
      <c r="B230" s="15" t="str">
        <f t="shared" si="6"/>
        <v>Sun</v>
      </c>
      <c r="C230" s="4">
        <v>9361</v>
      </c>
      <c r="D230" s="3">
        <v>7640.01</v>
      </c>
      <c r="E230" s="3">
        <f>C230-D230</f>
        <v>1720.9899999999998</v>
      </c>
      <c r="F230" s="28">
        <f t="shared" si="7"/>
        <v>0.22526017636102566</v>
      </c>
    </row>
    <row r="231" spans="1:6" x14ac:dyDescent="0.2">
      <c r="A231" s="27">
        <v>45887</v>
      </c>
      <c r="B231" s="15" t="str">
        <f t="shared" si="6"/>
        <v>Mon</v>
      </c>
      <c r="C231" s="4">
        <v>9427.6</v>
      </c>
      <c r="D231" s="3">
        <v>5524.82</v>
      </c>
      <c r="E231" s="3">
        <f>C231-D231</f>
        <v>3902.7800000000007</v>
      </c>
      <c r="F231" s="28">
        <f t="shared" si="7"/>
        <v>0.70640853457669228</v>
      </c>
    </row>
    <row r="232" spans="1:6" x14ac:dyDescent="0.2">
      <c r="A232" s="27">
        <v>45888</v>
      </c>
      <c r="B232" s="15" t="str">
        <f t="shared" si="6"/>
        <v>Tue</v>
      </c>
      <c r="C232" s="4">
        <v>11085.2</v>
      </c>
      <c r="D232" s="3">
        <v>12845.91</v>
      </c>
      <c r="E232" s="3">
        <f>C232-D232</f>
        <v>-1760.7099999999991</v>
      </c>
      <c r="F232" s="28">
        <f t="shared" si="7"/>
        <v>-0.13706385923613035</v>
      </c>
    </row>
    <row r="233" spans="1:6" x14ac:dyDescent="0.2">
      <c r="A233" s="27">
        <v>45889</v>
      </c>
      <c r="B233" s="15" t="str">
        <f t="shared" si="6"/>
        <v>Wed</v>
      </c>
      <c r="C233" s="4">
        <v>1398.6</v>
      </c>
      <c r="D233" s="3">
        <v>1786.89</v>
      </c>
      <c r="E233" s="3">
        <f>C233-D233</f>
        <v>-388.29000000000019</v>
      </c>
      <c r="F233" s="28">
        <f t="shared" si="7"/>
        <v>-0.21729933012104841</v>
      </c>
    </row>
    <row r="234" spans="1:6" x14ac:dyDescent="0.2">
      <c r="A234" s="27">
        <v>45890</v>
      </c>
      <c r="B234" s="15" t="str">
        <f t="shared" si="6"/>
        <v>Thu</v>
      </c>
      <c r="C234" s="4">
        <v>4055.2</v>
      </c>
      <c r="D234" s="3">
        <v>3437.77</v>
      </c>
      <c r="E234" s="3">
        <f>C234-D234</f>
        <v>617.42999999999984</v>
      </c>
      <c r="F234" s="28">
        <f t="shared" si="7"/>
        <v>0.17960189308767016</v>
      </c>
    </row>
    <row r="235" spans="1:6" x14ac:dyDescent="0.2">
      <c r="A235" s="27">
        <v>45891</v>
      </c>
      <c r="B235" s="15" t="str">
        <f t="shared" si="6"/>
        <v>Fri</v>
      </c>
      <c r="C235" s="4">
        <v>5416.7999999999993</v>
      </c>
      <c r="D235" s="3">
        <v>4863.5300000000007</v>
      </c>
      <c r="E235" s="3">
        <f>C235-D235</f>
        <v>553.26999999999862</v>
      </c>
      <c r="F235" s="28">
        <f t="shared" si="7"/>
        <v>0.11375893641038475</v>
      </c>
    </row>
    <row r="236" spans="1:6" x14ac:dyDescent="0.2">
      <c r="A236" s="27">
        <v>45892</v>
      </c>
      <c r="B236" s="15" t="str">
        <f t="shared" si="6"/>
        <v>Sat</v>
      </c>
      <c r="C236" s="4">
        <v>15503</v>
      </c>
      <c r="D236" s="3">
        <v>5215.2800000000007</v>
      </c>
      <c r="E236" s="3">
        <f>C236-D236</f>
        <v>10287.719999999999</v>
      </c>
      <c r="F236" s="28">
        <f t="shared" si="7"/>
        <v>1.9726112500191741</v>
      </c>
    </row>
    <row r="237" spans="1:6" x14ac:dyDescent="0.2">
      <c r="A237" s="27">
        <v>45893</v>
      </c>
      <c r="B237" s="15" t="str">
        <f t="shared" si="6"/>
        <v>Sun</v>
      </c>
      <c r="C237" s="4">
        <v>5601.7999999999993</v>
      </c>
      <c r="D237" s="3">
        <v>3090.71</v>
      </c>
      <c r="E237" s="3">
        <f>C237-D237</f>
        <v>2511.0899999999992</v>
      </c>
      <c r="F237" s="28">
        <f t="shared" si="7"/>
        <v>0.81246380281553399</v>
      </c>
    </row>
    <row r="238" spans="1:6" x14ac:dyDescent="0.2">
      <c r="A238" s="27">
        <v>45894</v>
      </c>
      <c r="B238" s="15" t="str">
        <f t="shared" si="6"/>
        <v>Mon</v>
      </c>
      <c r="C238" s="4">
        <v>17656.399999999998</v>
      </c>
      <c r="D238" s="3">
        <v>6003.2</v>
      </c>
      <c r="E238" s="3">
        <f>C238-D238</f>
        <v>11653.199999999997</v>
      </c>
      <c r="F238" s="28">
        <f t="shared" si="7"/>
        <v>1.9411647121535176</v>
      </c>
    </row>
    <row r="239" spans="1:6" x14ac:dyDescent="0.2">
      <c r="A239" s="27">
        <v>45895</v>
      </c>
      <c r="B239" s="15" t="str">
        <f t="shared" si="6"/>
        <v>Tue</v>
      </c>
      <c r="C239" s="4">
        <v>17064.400000000001</v>
      </c>
      <c r="D239" s="3">
        <v>10561.880000000001</v>
      </c>
      <c r="E239" s="3">
        <f>C239-D239</f>
        <v>6502.52</v>
      </c>
      <c r="F239" s="28">
        <f t="shared" si="7"/>
        <v>0.615659333376255</v>
      </c>
    </row>
    <row r="240" spans="1:6" x14ac:dyDescent="0.2">
      <c r="A240" s="27">
        <v>45896</v>
      </c>
      <c r="B240" s="15" t="str">
        <f t="shared" si="6"/>
        <v>Wed</v>
      </c>
      <c r="C240" s="4">
        <v>6771</v>
      </c>
      <c r="D240" s="3">
        <v>-243.88000000000002</v>
      </c>
      <c r="E240" s="3">
        <f>C240-D240</f>
        <v>7014.88</v>
      </c>
      <c r="F240" s="28">
        <f t="shared" si="7"/>
        <v>-28.763654256191568</v>
      </c>
    </row>
    <row r="241" spans="1:6" x14ac:dyDescent="0.2">
      <c r="A241" s="27">
        <v>45897</v>
      </c>
      <c r="B241" s="15" t="str">
        <f t="shared" si="6"/>
        <v>Thu</v>
      </c>
      <c r="C241" s="4">
        <v>11166.6</v>
      </c>
      <c r="D241" s="3">
        <v>4661.8600000000006</v>
      </c>
      <c r="E241" s="3">
        <f>C241-D241</f>
        <v>6504.74</v>
      </c>
      <c r="F241" s="28">
        <f t="shared" si="7"/>
        <v>1.3953100264701213</v>
      </c>
    </row>
    <row r="242" spans="1:6" x14ac:dyDescent="0.2">
      <c r="A242" s="27">
        <v>45898</v>
      </c>
      <c r="B242" s="15" t="str">
        <f t="shared" si="6"/>
        <v>Fri</v>
      </c>
      <c r="C242" s="4">
        <v>4440</v>
      </c>
      <c r="D242" s="3">
        <v>6115.76</v>
      </c>
      <c r="E242" s="3">
        <f>C242-D242</f>
        <v>-1675.7600000000002</v>
      </c>
      <c r="F242" s="28">
        <f t="shared" si="7"/>
        <v>-0.27400682826010181</v>
      </c>
    </row>
    <row r="243" spans="1:6" x14ac:dyDescent="0.2">
      <c r="A243" s="27">
        <v>45899</v>
      </c>
      <c r="B243" s="15" t="str">
        <f t="shared" si="6"/>
        <v>Sat</v>
      </c>
      <c r="C243" s="4">
        <v>7725.5999999999995</v>
      </c>
      <c r="D243" s="3">
        <v>7006.8600000000006</v>
      </c>
      <c r="E243" s="3">
        <f>C243-D243</f>
        <v>718.73999999999887</v>
      </c>
      <c r="F243" s="28">
        <f t="shared" si="7"/>
        <v>0.1025766177717264</v>
      </c>
    </row>
    <row r="244" spans="1:6" x14ac:dyDescent="0.2">
      <c r="A244" s="27">
        <v>45900</v>
      </c>
      <c r="B244" s="15" t="str">
        <f t="shared" si="6"/>
        <v>Sun</v>
      </c>
      <c r="C244" s="4">
        <v>8443.4</v>
      </c>
      <c r="D244" s="3">
        <v>3193.8900000000003</v>
      </c>
      <c r="E244" s="3">
        <f>C244-D244</f>
        <v>5249.5099999999993</v>
      </c>
      <c r="F244" s="28">
        <f t="shared" si="7"/>
        <v>1.6436101431170136</v>
      </c>
    </row>
    <row r="245" spans="1:6" x14ac:dyDescent="0.2">
      <c r="A245" s="27">
        <v>45901</v>
      </c>
      <c r="B245" s="15" t="str">
        <f t="shared" si="6"/>
        <v>Mon</v>
      </c>
      <c r="C245" s="4">
        <v>9975.2000000000007</v>
      </c>
      <c r="D245" s="3">
        <v>7649.3899999999994</v>
      </c>
      <c r="E245" s="3">
        <f>C245-D245</f>
        <v>2325.8100000000013</v>
      </c>
      <c r="F245" s="28">
        <f t="shared" si="7"/>
        <v>0.30405169562540302</v>
      </c>
    </row>
    <row r="246" spans="1:6" x14ac:dyDescent="0.2">
      <c r="A246" s="27">
        <v>45902</v>
      </c>
      <c r="B246" s="15" t="str">
        <f t="shared" si="6"/>
        <v>Tue</v>
      </c>
      <c r="C246" s="4">
        <v>7348.1999999999989</v>
      </c>
      <c r="D246" s="3">
        <v>9314.34</v>
      </c>
      <c r="E246" s="3">
        <f>C246-D246</f>
        <v>-1966.1400000000012</v>
      </c>
      <c r="F246" s="28">
        <f t="shared" si="7"/>
        <v>-0.21108742004264405</v>
      </c>
    </row>
    <row r="247" spans="1:6" x14ac:dyDescent="0.2">
      <c r="A247" s="27">
        <v>45903</v>
      </c>
      <c r="B247" s="15" t="str">
        <f t="shared" si="6"/>
        <v>Wed</v>
      </c>
      <c r="C247" s="4">
        <v>1028.5999999999999</v>
      </c>
      <c r="D247" s="3">
        <v>2119.88</v>
      </c>
      <c r="E247" s="3">
        <f>C247-D247</f>
        <v>-1091.2800000000002</v>
      </c>
      <c r="F247" s="28">
        <f t="shared" si="7"/>
        <v>-0.51478385568994478</v>
      </c>
    </row>
    <row r="248" spans="1:6" x14ac:dyDescent="0.2">
      <c r="A248" s="27">
        <v>45904</v>
      </c>
      <c r="B248" s="15" t="str">
        <f t="shared" si="6"/>
        <v>Thu</v>
      </c>
      <c r="C248" s="4">
        <v>5742.4</v>
      </c>
      <c r="D248" s="3">
        <v>5717.1100000000006</v>
      </c>
      <c r="E248" s="3">
        <f>C248-D248</f>
        <v>25.289999999999054</v>
      </c>
      <c r="F248" s="28">
        <f t="shared" si="7"/>
        <v>4.4235636536640102E-3</v>
      </c>
    </row>
    <row r="249" spans="1:6" x14ac:dyDescent="0.2">
      <c r="A249" s="27">
        <v>45905</v>
      </c>
      <c r="B249" s="15" t="str">
        <f t="shared" si="6"/>
        <v>Fri</v>
      </c>
      <c r="C249" s="4">
        <v>7696</v>
      </c>
      <c r="D249" s="3">
        <v>1322.58</v>
      </c>
      <c r="E249" s="3">
        <f>C249-D249</f>
        <v>6373.42</v>
      </c>
      <c r="F249" s="28">
        <f t="shared" si="7"/>
        <v>4.8189296677705702</v>
      </c>
    </row>
    <row r="250" spans="1:6" x14ac:dyDescent="0.2">
      <c r="A250" s="27">
        <v>45906</v>
      </c>
      <c r="B250" s="15" t="str">
        <f t="shared" si="6"/>
        <v>Sat</v>
      </c>
      <c r="C250" s="4">
        <v>16650</v>
      </c>
      <c r="D250" s="3">
        <v>16433.760000000002</v>
      </c>
      <c r="E250" s="3">
        <f>C250-D250</f>
        <v>216.23999999999796</v>
      </c>
      <c r="F250" s="28">
        <f t="shared" si="7"/>
        <v>1.3158279054823602E-2</v>
      </c>
    </row>
    <row r="251" spans="1:6" x14ac:dyDescent="0.2">
      <c r="A251" s="27">
        <v>45907</v>
      </c>
      <c r="B251" s="15" t="str">
        <f t="shared" si="6"/>
        <v>Sun</v>
      </c>
      <c r="C251" s="4">
        <v>9405.4</v>
      </c>
      <c r="D251" s="3">
        <v>4174.1000000000004</v>
      </c>
      <c r="E251" s="3">
        <f>C251-D251</f>
        <v>5231.2999999999993</v>
      </c>
      <c r="F251" s="28">
        <f t="shared" si="7"/>
        <v>1.2532761553388752</v>
      </c>
    </row>
    <row r="252" spans="1:6" x14ac:dyDescent="0.2">
      <c r="A252" s="27">
        <v>45908</v>
      </c>
      <c r="B252" s="15" t="str">
        <f t="shared" si="6"/>
        <v>Mon</v>
      </c>
      <c r="C252" s="4">
        <v>7081.7999999999993</v>
      </c>
      <c r="D252" s="3">
        <v>5660.83</v>
      </c>
      <c r="E252" s="3">
        <f>C252-D252</f>
        <v>1420.9699999999993</v>
      </c>
      <c r="F252" s="28">
        <f t="shared" si="7"/>
        <v>0.25101796026377748</v>
      </c>
    </row>
    <row r="253" spans="1:6" x14ac:dyDescent="0.2">
      <c r="A253" s="27">
        <v>45909</v>
      </c>
      <c r="B253" s="15" t="str">
        <f t="shared" si="6"/>
        <v>Tue</v>
      </c>
      <c r="C253" s="4">
        <v>15332.8</v>
      </c>
      <c r="D253" s="3">
        <v>3465.9100000000003</v>
      </c>
      <c r="E253" s="3">
        <f>C253-D253</f>
        <v>11866.89</v>
      </c>
      <c r="F253" s="28">
        <f t="shared" si="7"/>
        <v>3.4238886757013307</v>
      </c>
    </row>
    <row r="254" spans="1:6" x14ac:dyDescent="0.2">
      <c r="A254" s="27">
        <v>45910</v>
      </c>
      <c r="B254" s="15" t="str">
        <f t="shared" si="6"/>
        <v>Wed</v>
      </c>
      <c r="C254" s="4">
        <v>4099.5999999999995</v>
      </c>
      <c r="D254" s="3">
        <v>3662.89</v>
      </c>
      <c r="E254" s="3">
        <f>C254-D254</f>
        <v>436.70999999999958</v>
      </c>
      <c r="F254" s="28">
        <f t="shared" si="7"/>
        <v>0.11922552956818239</v>
      </c>
    </row>
    <row r="255" spans="1:6" x14ac:dyDescent="0.2">
      <c r="A255" s="27">
        <v>45911</v>
      </c>
      <c r="B255" s="15" t="str">
        <f t="shared" si="6"/>
        <v>Thu</v>
      </c>
      <c r="C255" s="4">
        <v>7126.2</v>
      </c>
      <c r="D255" s="3">
        <v>6852.09</v>
      </c>
      <c r="E255" s="3">
        <f>C255-D255</f>
        <v>274.10999999999967</v>
      </c>
      <c r="F255" s="28">
        <f t="shared" si="7"/>
        <v>4.0003852839060737E-2</v>
      </c>
    </row>
    <row r="256" spans="1:6" x14ac:dyDescent="0.2">
      <c r="A256" s="27">
        <v>45912</v>
      </c>
      <c r="B256" s="15" t="str">
        <f t="shared" si="6"/>
        <v>Fri</v>
      </c>
      <c r="C256" s="4">
        <v>7718.1999999999989</v>
      </c>
      <c r="D256" s="3">
        <v>3508.1200000000003</v>
      </c>
      <c r="E256" s="3">
        <f>C256-D256</f>
        <v>4210.0799999999981</v>
      </c>
      <c r="F256" s="28">
        <f t="shared" si="7"/>
        <v>1.2000957777955137</v>
      </c>
    </row>
    <row r="257" spans="1:6" x14ac:dyDescent="0.2">
      <c r="A257" s="27">
        <v>45913</v>
      </c>
      <c r="B257" s="15" t="str">
        <f t="shared" si="6"/>
        <v>Sat</v>
      </c>
      <c r="C257" s="4">
        <v>9864.1999999999989</v>
      </c>
      <c r="D257" s="3">
        <v>4366.3899999999994</v>
      </c>
      <c r="E257" s="3">
        <f>C257-D257</f>
        <v>5497.8099999999995</v>
      </c>
      <c r="F257" s="28">
        <f t="shared" si="7"/>
        <v>1.2591202343354579</v>
      </c>
    </row>
    <row r="258" spans="1:6" x14ac:dyDescent="0.2">
      <c r="A258" s="27">
        <v>45914</v>
      </c>
      <c r="B258" s="15" t="str">
        <f t="shared" si="6"/>
        <v>Sun</v>
      </c>
      <c r="C258" s="4">
        <v>8717.2000000000007</v>
      </c>
      <c r="D258" s="3">
        <v>5440.4000000000005</v>
      </c>
      <c r="E258" s="3">
        <f>C258-D258</f>
        <v>3276.8</v>
      </c>
      <c r="F258" s="28">
        <f t="shared" si="7"/>
        <v>0.60230865377545761</v>
      </c>
    </row>
    <row r="259" spans="1:6" x14ac:dyDescent="0.2">
      <c r="A259" s="27">
        <v>45915</v>
      </c>
      <c r="B259" s="15" t="str">
        <f t="shared" ref="B259:B322" si="8">TEXT(A259,"ddd")</f>
        <v>Mon</v>
      </c>
      <c r="C259" s="4">
        <v>11921.399999999998</v>
      </c>
      <c r="D259" s="3">
        <v>6823.95</v>
      </c>
      <c r="E259" s="3">
        <f>C259-D259</f>
        <v>5097.449999999998</v>
      </c>
      <c r="F259" s="28">
        <f t="shared" ref="F259:F322" si="9">IF(D259=0,0,(C259-D259)/D259)</f>
        <v>0.74699404303958827</v>
      </c>
    </row>
    <row r="260" spans="1:6" x14ac:dyDescent="0.2">
      <c r="A260" s="27">
        <v>45916</v>
      </c>
      <c r="B260" s="15" t="str">
        <f t="shared" si="8"/>
        <v>Tue</v>
      </c>
      <c r="C260" s="4">
        <v>9094.6</v>
      </c>
      <c r="D260" s="3">
        <v>4145.9600000000009</v>
      </c>
      <c r="E260" s="3">
        <f>C260-D260</f>
        <v>4948.6399999999994</v>
      </c>
      <c r="F260" s="28">
        <f t="shared" si="9"/>
        <v>1.1936053411031458</v>
      </c>
    </row>
    <row r="261" spans="1:6" x14ac:dyDescent="0.2">
      <c r="A261" s="27">
        <v>45917</v>
      </c>
      <c r="B261" s="15" t="str">
        <f t="shared" si="8"/>
        <v>Wed</v>
      </c>
      <c r="C261" s="4">
        <v>3907.2</v>
      </c>
      <c r="D261" s="3">
        <v>3057.88</v>
      </c>
      <c r="E261" s="3">
        <f>C261-D261</f>
        <v>849.31999999999971</v>
      </c>
      <c r="F261" s="28">
        <f t="shared" si="9"/>
        <v>0.2777479822622208</v>
      </c>
    </row>
    <row r="262" spans="1:6" x14ac:dyDescent="0.2">
      <c r="A262" s="27">
        <v>45918</v>
      </c>
      <c r="B262" s="15" t="str">
        <f t="shared" si="8"/>
        <v>Thu</v>
      </c>
      <c r="C262" s="4">
        <v>6164.2</v>
      </c>
      <c r="D262" s="3">
        <v>5177.76</v>
      </c>
      <c r="E262" s="3">
        <f>C262-D262</f>
        <v>986.4399999999996</v>
      </c>
      <c r="F262" s="28">
        <f t="shared" si="9"/>
        <v>0.19051481721825647</v>
      </c>
    </row>
    <row r="263" spans="1:6" x14ac:dyDescent="0.2">
      <c r="A263" s="27">
        <v>45919</v>
      </c>
      <c r="B263" s="15" t="str">
        <f t="shared" si="8"/>
        <v>Fri</v>
      </c>
      <c r="C263" s="4">
        <v>5379.8</v>
      </c>
      <c r="D263" s="3">
        <v>5449.7800000000007</v>
      </c>
      <c r="E263" s="3">
        <f>C263-D263</f>
        <v>-69.980000000000473</v>
      </c>
      <c r="F263" s="28">
        <f t="shared" si="9"/>
        <v>-1.284088532014145E-2</v>
      </c>
    </row>
    <row r="264" spans="1:6" x14ac:dyDescent="0.2">
      <c r="A264" s="27">
        <v>45920</v>
      </c>
      <c r="B264" s="15" t="str">
        <f t="shared" si="8"/>
        <v>Sat</v>
      </c>
      <c r="C264" s="4">
        <v>5846</v>
      </c>
      <c r="D264" s="3">
        <v>7217.9100000000008</v>
      </c>
      <c r="E264" s="3">
        <f>C264-D264</f>
        <v>-1371.9100000000008</v>
      </c>
      <c r="F264" s="28">
        <f t="shared" si="9"/>
        <v>-0.1900702557942674</v>
      </c>
    </row>
    <row r="265" spans="1:6" x14ac:dyDescent="0.2">
      <c r="A265" s="27">
        <v>45921</v>
      </c>
      <c r="B265" s="15" t="str">
        <f t="shared" si="8"/>
        <v>Sun</v>
      </c>
      <c r="C265" s="4">
        <v>3581.5999999999995</v>
      </c>
      <c r="D265" s="3">
        <v>5491.9900000000007</v>
      </c>
      <c r="E265" s="3">
        <f>C265-D265</f>
        <v>-1910.3900000000012</v>
      </c>
      <c r="F265" s="28">
        <f t="shared" si="9"/>
        <v>-0.34785023279357774</v>
      </c>
    </row>
    <row r="266" spans="1:6" x14ac:dyDescent="0.2">
      <c r="A266" s="27">
        <v>45922</v>
      </c>
      <c r="B266" s="15" t="str">
        <f t="shared" si="8"/>
        <v>Mon</v>
      </c>
      <c r="C266" s="4">
        <v>6682.2000000000007</v>
      </c>
      <c r="D266" s="3">
        <v>9286.2000000000007</v>
      </c>
      <c r="E266" s="3">
        <f>C266-D266</f>
        <v>-2604</v>
      </c>
      <c r="F266" s="28">
        <f t="shared" si="9"/>
        <v>-0.2804161013116237</v>
      </c>
    </row>
    <row r="267" spans="1:6" x14ac:dyDescent="0.2">
      <c r="A267" s="27">
        <v>45923</v>
      </c>
      <c r="B267" s="15" t="str">
        <f t="shared" si="8"/>
        <v>Tue</v>
      </c>
      <c r="C267" s="4">
        <v>6253</v>
      </c>
      <c r="D267" s="3">
        <v>6157.97</v>
      </c>
      <c r="E267" s="3">
        <f>C267-D267</f>
        <v>95.029999999999745</v>
      </c>
      <c r="F267" s="28">
        <f t="shared" si="9"/>
        <v>1.5432033608478076E-2</v>
      </c>
    </row>
    <row r="268" spans="1:6" x14ac:dyDescent="0.2">
      <c r="A268" s="27">
        <v>45924</v>
      </c>
      <c r="B268" s="15" t="str">
        <f t="shared" si="8"/>
        <v>Wed</v>
      </c>
      <c r="C268" s="4">
        <v>5712.7999999999993</v>
      </c>
      <c r="D268" s="3">
        <v>886.41000000000008</v>
      </c>
      <c r="E268" s="3">
        <f>C268-D268</f>
        <v>4826.3899999999994</v>
      </c>
      <c r="F268" s="28">
        <f t="shared" si="9"/>
        <v>5.4448731399690873</v>
      </c>
    </row>
    <row r="269" spans="1:6" x14ac:dyDescent="0.2">
      <c r="A269" s="27">
        <v>45925</v>
      </c>
      <c r="B269" s="15" t="str">
        <f t="shared" si="8"/>
        <v>Thu</v>
      </c>
      <c r="C269" s="4">
        <v>1591</v>
      </c>
      <c r="D269" s="3">
        <v>6303.3600000000006</v>
      </c>
      <c r="E269" s="3">
        <f>C269-D269</f>
        <v>-4712.3600000000006</v>
      </c>
      <c r="F269" s="28">
        <f t="shared" si="9"/>
        <v>-0.74759493349578643</v>
      </c>
    </row>
    <row r="270" spans="1:6" x14ac:dyDescent="0.2">
      <c r="A270" s="27">
        <v>45926</v>
      </c>
      <c r="B270" s="15" t="str">
        <f t="shared" si="8"/>
        <v>Fri</v>
      </c>
      <c r="C270" s="4">
        <v>3759.2000000000003</v>
      </c>
      <c r="D270" s="3">
        <v>4497.7100000000009</v>
      </c>
      <c r="E270" s="3">
        <f>C270-D270</f>
        <v>-738.51000000000067</v>
      </c>
      <c r="F270" s="28">
        <f t="shared" si="9"/>
        <v>-0.16419689130690962</v>
      </c>
    </row>
    <row r="271" spans="1:6" x14ac:dyDescent="0.2">
      <c r="A271" s="27">
        <v>45927</v>
      </c>
      <c r="B271" s="15" t="str">
        <f t="shared" si="8"/>
        <v>Sat</v>
      </c>
      <c r="C271" s="4">
        <v>9945.5999999999985</v>
      </c>
      <c r="D271" s="3">
        <v>2617.02</v>
      </c>
      <c r="E271" s="3">
        <f>C271-D271</f>
        <v>7328.5799999999981</v>
      </c>
      <c r="F271" s="28">
        <f t="shared" si="9"/>
        <v>2.8003530733429618</v>
      </c>
    </row>
    <row r="272" spans="1:6" x14ac:dyDescent="0.2">
      <c r="A272" s="27">
        <v>45928</v>
      </c>
      <c r="B272" s="15" t="str">
        <f t="shared" si="8"/>
        <v>Sun</v>
      </c>
      <c r="C272" s="4">
        <v>11655</v>
      </c>
      <c r="D272" s="3">
        <v>7785.4000000000005</v>
      </c>
      <c r="E272" s="3">
        <f>C272-D272</f>
        <v>3869.5999999999995</v>
      </c>
      <c r="F272" s="28">
        <f t="shared" si="9"/>
        <v>0.49703290775040448</v>
      </c>
    </row>
    <row r="273" spans="1:6" x14ac:dyDescent="0.2">
      <c r="A273" s="27">
        <v>45929</v>
      </c>
      <c r="B273" s="15" t="str">
        <f t="shared" si="8"/>
        <v>Mon</v>
      </c>
      <c r="C273" s="4">
        <v>8325</v>
      </c>
      <c r="D273" s="3">
        <v>3283</v>
      </c>
      <c r="E273" s="3">
        <f>C273-D273</f>
        <v>5042</v>
      </c>
      <c r="F273" s="28">
        <f t="shared" si="9"/>
        <v>1.5357904355772161</v>
      </c>
    </row>
    <row r="274" spans="1:6" x14ac:dyDescent="0.2">
      <c r="A274" s="27">
        <v>45930</v>
      </c>
      <c r="B274" s="15" t="str">
        <f t="shared" si="8"/>
        <v>Tue</v>
      </c>
      <c r="C274" s="4">
        <v>14444.8</v>
      </c>
      <c r="D274" s="3">
        <v>8582.7000000000007</v>
      </c>
      <c r="E274" s="3">
        <f>C274-D274</f>
        <v>5862.0999999999985</v>
      </c>
      <c r="F274" s="28">
        <f t="shared" si="9"/>
        <v>0.68301350390902604</v>
      </c>
    </row>
    <row r="275" spans="1:6" x14ac:dyDescent="0.2">
      <c r="A275" s="27">
        <v>45931</v>
      </c>
      <c r="B275" s="15" t="str">
        <f t="shared" si="8"/>
        <v>Wed</v>
      </c>
      <c r="C275" s="4">
        <v>6031</v>
      </c>
      <c r="D275" s="3">
        <v>1603.98</v>
      </c>
      <c r="E275" s="3">
        <f>C275-D275</f>
        <v>4427.0200000000004</v>
      </c>
      <c r="F275" s="28">
        <f t="shared" si="9"/>
        <v>2.760021945410791</v>
      </c>
    </row>
    <row r="276" spans="1:6" x14ac:dyDescent="0.2">
      <c r="A276" s="27">
        <v>45932</v>
      </c>
      <c r="B276" s="15" t="str">
        <f t="shared" si="8"/>
        <v>Thu</v>
      </c>
      <c r="C276" s="4">
        <v>10426.6</v>
      </c>
      <c r="D276" s="3">
        <v>3714.48</v>
      </c>
      <c r="E276" s="3">
        <f>C276-D276</f>
        <v>6712.1200000000008</v>
      </c>
      <c r="F276" s="28">
        <f t="shared" si="9"/>
        <v>1.8070147099997849</v>
      </c>
    </row>
    <row r="277" spans="1:6" x14ac:dyDescent="0.2">
      <c r="A277" s="27">
        <v>45933</v>
      </c>
      <c r="B277" s="15" t="str">
        <f t="shared" si="8"/>
        <v>Fri</v>
      </c>
      <c r="C277" s="4">
        <v>3737</v>
      </c>
      <c r="D277" s="3">
        <v>2513.84</v>
      </c>
      <c r="E277" s="3">
        <f>C277-D277</f>
        <v>1223.1599999999999</v>
      </c>
      <c r="F277" s="28">
        <f t="shared" si="9"/>
        <v>0.48657034656143583</v>
      </c>
    </row>
    <row r="278" spans="1:6" x14ac:dyDescent="0.2">
      <c r="A278" s="27">
        <v>45934</v>
      </c>
      <c r="B278" s="15" t="str">
        <f t="shared" si="8"/>
        <v>Sat</v>
      </c>
      <c r="C278" s="4">
        <v>4750.8</v>
      </c>
      <c r="D278" s="3">
        <v>12639.550000000001</v>
      </c>
      <c r="E278" s="3">
        <f>C278-D278</f>
        <v>-7888.7500000000009</v>
      </c>
      <c r="F278" s="28">
        <f t="shared" si="9"/>
        <v>-0.62413218825037287</v>
      </c>
    </row>
    <row r="279" spans="1:6" x14ac:dyDescent="0.2">
      <c r="A279" s="27">
        <v>45935</v>
      </c>
      <c r="B279" s="15" t="str">
        <f t="shared" si="8"/>
        <v>Sun</v>
      </c>
      <c r="C279" s="4">
        <v>2294</v>
      </c>
      <c r="D279" s="3">
        <v>6997.4800000000005</v>
      </c>
      <c r="E279" s="3">
        <f>C279-D279</f>
        <v>-4703.4800000000005</v>
      </c>
      <c r="F279" s="28">
        <f t="shared" si="9"/>
        <v>-0.6721676946557904</v>
      </c>
    </row>
    <row r="280" spans="1:6" x14ac:dyDescent="0.2">
      <c r="A280" s="27">
        <v>45936</v>
      </c>
      <c r="B280" s="15" t="str">
        <f t="shared" si="8"/>
        <v>Mon</v>
      </c>
      <c r="C280" s="4">
        <v>14393</v>
      </c>
      <c r="D280" s="3">
        <v>7199.1500000000005</v>
      </c>
      <c r="E280" s="3">
        <f>C280-D280</f>
        <v>7193.8499999999995</v>
      </c>
      <c r="F280" s="28">
        <f t="shared" si="9"/>
        <v>0.99926380197662212</v>
      </c>
    </row>
    <row r="281" spans="1:6" x14ac:dyDescent="0.2">
      <c r="A281" s="27">
        <v>45937</v>
      </c>
      <c r="B281" s="15" t="str">
        <f t="shared" si="8"/>
        <v>Tue</v>
      </c>
      <c r="C281" s="4">
        <v>7807</v>
      </c>
      <c r="D281" s="3">
        <v>10158.540000000001</v>
      </c>
      <c r="E281" s="3">
        <f>C281-D281</f>
        <v>-2351.5400000000009</v>
      </c>
      <c r="F281" s="28">
        <f t="shared" si="9"/>
        <v>-0.23148405184209547</v>
      </c>
    </row>
    <row r="282" spans="1:6" x14ac:dyDescent="0.2">
      <c r="A282" s="27">
        <v>45938</v>
      </c>
      <c r="B282" s="15" t="str">
        <f t="shared" si="8"/>
        <v>Wed</v>
      </c>
      <c r="C282" s="4">
        <v>4025.6</v>
      </c>
      <c r="D282" s="3">
        <v>1847.8600000000001</v>
      </c>
      <c r="E282" s="3">
        <f>C282-D282</f>
        <v>2177.7399999999998</v>
      </c>
      <c r="F282" s="28">
        <f t="shared" si="9"/>
        <v>1.1785200177502622</v>
      </c>
    </row>
    <row r="283" spans="1:6" x14ac:dyDescent="0.2">
      <c r="A283" s="27">
        <v>45939</v>
      </c>
      <c r="B283" s="15" t="str">
        <f t="shared" si="8"/>
        <v>Thu</v>
      </c>
      <c r="C283" s="4">
        <v>11107.4</v>
      </c>
      <c r="D283" s="3">
        <v>3555.02</v>
      </c>
      <c r="E283" s="3">
        <f>C283-D283</f>
        <v>7552.3799999999992</v>
      </c>
      <c r="F283" s="28">
        <f t="shared" si="9"/>
        <v>2.1244268667968109</v>
      </c>
    </row>
    <row r="284" spans="1:6" x14ac:dyDescent="0.2">
      <c r="A284" s="27">
        <v>45940</v>
      </c>
      <c r="B284" s="15" t="str">
        <f t="shared" si="8"/>
        <v>Fri</v>
      </c>
      <c r="C284" s="4">
        <v>11521.800000000001</v>
      </c>
      <c r="D284" s="3">
        <v>5276.25</v>
      </c>
      <c r="E284" s="3">
        <f>C284-D284</f>
        <v>6245.5500000000011</v>
      </c>
      <c r="F284" s="28">
        <f t="shared" si="9"/>
        <v>1.1837100213219618</v>
      </c>
    </row>
    <row r="285" spans="1:6" x14ac:dyDescent="0.2">
      <c r="A285" s="27">
        <v>45941</v>
      </c>
      <c r="B285" s="15" t="str">
        <f t="shared" si="8"/>
        <v>Sat</v>
      </c>
      <c r="C285" s="4">
        <v>2989.6</v>
      </c>
      <c r="D285" s="3">
        <v>3419.01</v>
      </c>
      <c r="E285" s="3">
        <f>C285-D285</f>
        <v>-429.41000000000031</v>
      </c>
      <c r="F285" s="28">
        <f t="shared" si="9"/>
        <v>-0.12559483593203888</v>
      </c>
    </row>
    <row r="286" spans="1:6" x14ac:dyDescent="0.2">
      <c r="A286" s="27">
        <v>45942</v>
      </c>
      <c r="B286" s="15" t="str">
        <f t="shared" si="8"/>
        <v>Sun</v>
      </c>
      <c r="C286" s="4">
        <v>5461.2</v>
      </c>
      <c r="D286" s="3">
        <v>7841.68</v>
      </c>
      <c r="E286" s="3">
        <f>C286-D286</f>
        <v>-2380.4800000000005</v>
      </c>
      <c r="F286" s="28">
        <f t="shared" si="9"/>
        <v>-0.30356760286061157</v>
      </c>
    </row>
    <row r="287" spans="1:6" x14ac:dyDescent="0.2">
      <c r="A287" s="27">
        <v>45943</v>
      </c>
      <c r="B287" s="15" t="str">
        <f t="shared" si="8"/>
        <v>Mon</v>
      </c>
      <c r="C287" s="4">
        <v>5668.4000000000005</v>
      </c>
      <c r="D287" s="3">
        <v>5595.17</v>
      </c>
      <c r="E287" s="3">
        <f>C287-D287</f>
        <v>73.230000000000473</v>
      </c>
      <c r="F287" s="28">
        <f t="shared" si="9"/>
        <v>1.3088074178264552E-2</v>
      </c>
    </row>
    <row r="288" spans="1:6" x14ac:dyDescent="0.2">
      <c r="A288" s="27">
        <v>45944</v>
      </c>
      <c r="B288" s="15" t="str">
        <f t="shared" si="8"/>
        <v>Tue</v>
      </c>
      <c r="C288" s="4">
        <v>8813.4</v>
      </c>
      <c r="D288" s="3">
        <v>4633.72</v>
      </c>
      <c r="E288" s="3">
        <f>C288-D288</f>
        <v>4179.6799999999994</v>
      </c>
      <c r="F288" s="28">
        <f t="shared" si="9"/>
        <v>0.90201393265022467</v>
      </c>
    </row>
    <row r="289" spans="1:6" x14ac:dyDescent="0.2">
      <c r="A289" s="27">
        <v>45945</v>
      </c>
      <c r="B289" s="15" t="str">
        <f t="shared" si="8"/>
        <v>Wed</v>
      </c>
      <c r="C289" s="4">
        <v>3566.8</v>
      </c>
      <c r="D289" s="3">
        <v>6697.3200000000006</v>
      </c>
      <c r="E289" s="3">
        <f>C289-D289</f>
        <v>-3130.5200000000004</v>
      </c>
      <c r="F289" s="28">
        <f t="shared" si="9"/>
        <v>-0.46742876254979604</v>
      </c>
    </row>
    <row r="290" spans="1:6" x14ac:dyDescent="0.2">
      <c r="A290" s="27">
        <v>45946</v>
      </c>
      <c r="B290" s="15" t="str">
        <f t="shared" si="8"/>
        <v>Thu</v>
      </c>
      <c r="C290" s="4">
        <v>5320.5999999999995</v>
      </c>
      <c r="D290" s="3">
        <v>6978.72</v>
      </c>
      <c r="E290" s="3">
        <f>C290-D290</f>
        <v>-1658.1200000000008</v>
      </c>
      <c r="F290" s="28">
        <f t="shared" si="9"/>
        <v>-0.23759657931540465</v>
      </c>
    </row>
    <row r="291" spans="1:6" x14ac:dyDescent="0.2">
      <c r="A291" s="27">
        <v>45947</v>
      </c>
      <c r="B291" s="15" t="str">
        <f t="shared" si="8"/>
        <v>Fri</v>
      </c>
      <c r="C291" s="4">
        <v>6904.2</v>
      </c>
      <c r="D291" s="3">
        <v>2626.4000000000005</v>
      </c>
      <c r="E291" s="3">
        <f>C291-D291</f>
        <v>4277.7999999999993</v>
      </c>
      <c r="F291" s="28">
        <f t="shared" si="9"/>
        <v>1.6287694182150465</v>
      </c>
    </row>
    <row r="292" spans="1:6" x14ac:dyDescent="0.2">
      <c r="A292" s="27">
        <v>45948</v>
      </c>
      <c r="B292" s="15" t="str">
        <f t="shared" si="8"/>
        <v>Sat</v>
      </c>
      <c r="C292" s="4">
        <v>7481.4</v>
      </c>
      <c r="D292" s="3">
        <v>1270.9900000000002</v>
      </c>
      <c r="E292" s="3">
        <f>C292-D292</f>
        <v>6210.41</v>
      </c>
      <c r="F292" s="28">
        <f t="shared" si="9"/>
        <v>4.8862776261024861</v>
      </c>
    </row>
    <row r="293" spans="1:6" x14ac:dyDescent="0.2">
      <c r="A293" s="27">
        <v>45949</v>
      </c>
      <c r="B293" s="15" t="str">
        <f t="shared" si="8"/>
        <v>Sun</v>
      </c>
      <c r="C293" s="4">
        <v>3174.6</v>
      </c>
      <c r="D293" s="3">
        <v>1997.94</v>
      </c>
      <c r="E293" s="3">
        <f>C293-D293</f>
        <v>1176.6599999999999</v>
      </c>
      <c r="F293" s="28">
        <f t="shared" si="9"/>
        <v>0.58893660470284381</v>
      </c>
    </row>
    <row r="294" spans="1:6" x14ac:dyDescent="0.2">
      <c r="A294" s="27">
        <v>45950</v>
      </c>
      <c r="B294" s="15" t="str">
        <f t="shared" si="8"/>
        <v>Mon</v>
      </c>
      <c r="C294" s="4">
        <v>13453.199999999999</v>
      </c>
      <c r="D294" s="3">
        <v>6594.14</v>
      </c>
      <c r="E294" s="3">
        <f>C294-D294</f>
        <v>6859.0599999999986</v>
      </c>
      <c r="F294" s="28">
        <f t="shared" si="9"/>
        <v>1.0401750645269889</v>
      </c>
    </row>
    <row r="295" spans="1:6" x14ac:dyDescent="0.2">
      <c r="A295" s="27">
        <v>45951</v>
      </c>
      <c r="B295" s="15" t="str">
        <f t="shared" si="8"/>
        <v>Tue</v>
      </c>
      <c r="C295" s="4">
        <v>15036.800000000001</v>
      </c>
      <c r="D295" s="3">
        <v>11129.37</v>
      </c>
      <c r="E295" s="3">
        <f>C295-D295</f>
        <v>3907.4300000000003</v>
      </c>
      <c r="F295" s="28">
        <f t="shared" si="9"/>
        <v>0.35109175092570377</v>
      </c>
    </row>
    <row r="296" spans="1:6" x14ac:dyDescent="0.2">
      <c r="A296" s="27">
        <v>45952</v>
      </c>
      <c r="B296" s="15" t="str">
        <f t="shared" si="8"/>
        <v>Wed</v>
      </c>
      <c r="C296" s="4">
        <v>2715.7999999999997</v>
      </c>
      <c r="D296" s="3">
        <v>4877.6000000000004</v>
      </c>
      <c r="E296" s="3">
        <f>C296-D296</f>
        <v>-2161.8000000000006</v>
      </c>
      <c r="F296" s="28">
        <f t="shared" si="9"/>
        <v>-0.44320977529932765</v>
      </c>
    </row>
    <row r="297" spans="1:6" x14ac:dyDescent="0.2">
      <c r="A297" s="27">
        <v>45953</v>
      </c>
      <c r="B297" s="15" t="str">
        <f t="shared" si="8"/>
        <v>Thu</v>
      </c>
      <c r="C297" s="4">
        <v>9168.6</v>
      </c>
      <c r="D297" s="3">
        <v>5219.97</v>
      </c>
      <c r="E297" s="3">
        <f>C297-D297</f>
        <v>3948.63</v>
      </c>
      <c r="F297" s="28">
        <f t="shared" si="9"/>
        <v>0.75644687613147199</v>
      </c>
    </row>
    <row r="298" spans="1:6" x14ac:dyDescent="0.2">
      <c r="A298" s="27">
        <v>45954</v>
      </c>
      <c r="B298" s="15" t="str">
        <f t="shared" si="8"/>
        <v>Fri</v>
      </c>
      <c r="C298" s="4">
        <v>6889.4</v>
      </c>
      <c r="D298" s="3">
        <v>839.51</v>
      </c>
      <c r="E298" s="3">
        <f>C298-D298</f>
        <v>6049.8899999999994</v>
      </c>
      <c r="F298" s="28">
        <f t="shared" si="9"/>
        <v>7.2064537646960725</v>
      </c>
    </row>
    <row r="299" spans="1:6" x14ac:dyDescent="0.2">
      <c r="A299" s="27">
        <v>45955</v>
      </c>
      <c r="B299" s="15" t="str">
        <f t="shared" si="8"/>
        <v>Sat</v>
      </c>
      <c r="C299" s="4">
        <v>4780.4000000000005</v>
      </c>
      <c r="D299" s="3">
        <v>6809.88</v>
      </c>
      <c r="E299" s="3">
        <f>C299-D299</f>
        <v>-2029.4799999999996</v>
      </c>
      <c r="F299" s="28">
        <f t="shared" si="9"/>
        <v>-0.29801993574042412</v>
      </c>
    </row>
    <row r="300" spans="1:6" x14ac:dyDescent="0.2">
      <c r="A300" s="27">
        <v>45956</v>
      </c>
      <c r="B300" s="15" t="str">
        <f t="shared" si="8"/>
        <v>Sun</v>
      </c>
      <c r="C300" s="4">
        <v>0</v>
      </c>
      <c r="D300" s="3">
        <v>0</v>
      </c>
      <c r="E300" s="3">
        <f>C300-D300</f>
        <v>0</v>
      </c>
      <c r="F300" s="28">
        <f t="shared" si="9"/>
        <v>0</v>
      </c>
    </row>
    <row r="301" spans="1:6" x14ac:dyDescent="0.2">
      <c r="A301" s="27">
        <v>45957</v>
      </c>
      <c r="B301" s="15" t="str">
        <f t="shared" si="8"/>
        <v>Mon</v>
      </c>
      <c r="C301" s="4">
        <v>16879.400000000001</v>
      </c>
      <c r="D301" s="3">
        <v>9656.7099999999991</v>
      </c>
      <c r="E301" s="3">
        <f>C301-D301</f>
        <v>7222.6900000000023</v>
      </c>
      <c r="F301" s="28">
        <f t="shared" si="9"/>
        <v>0.7479452111536955</v>
      </c>
    </row>
    <row r="302" spans="1:6" x14ac:dyDescent="0.2">
      <c r="A302" s="27">
        <v>45958</v>
      </c>
      <c r="B302" s="15" t="str">
        <f t="shared" si="8"/>
        <v>Tue</v>
      </c>
      <c r="C302" s="4">
        <v>12284</v>
      </c>
      <c r="D302" s="3">
        <v>5022.9900000000007</v>
      </c>
      <c r="E302" s="3">
        <f>C302-D302</f>
        <v>7261.0099999999993</v>
      </c>
      <c r="F302" s="28">
        <f t="shared" si="9"/>
        <v>1.4455553365624854</v>
      </c>
    </row>
    <row r="303" spans="1:6" x14ac:dyDescent="0.2">
      <c r="A303" s="27">
        <v>45959</v>
      </c>
      <c r="B303" s="15" t="str">
        <f t="shared" si="8"/>
        <v>Wed</v>
      </c>
      <c r="C303" s="4">
        <v>1346.8000000000002</v>
      </c>
      <c r="D303" s="3">
        <v>6289.29</v>
      </c>
      <c r="E303" s="3">
        <f>C303-D303</f>
        <v>-4942.49</v>
      </c>
      <c r="F303" s="28">
        <f t="shared" si="9"/>
        <v>-0.78585818113014339</v>
      </c>
    </row>
    <row r="304" spans="1:6" x14ac:dyDescent="0.2">
      <c r="A304" s="27">
        <v>45960</v>
      </c>
      <c r="B304" s="15" t="str">
        <f t="shared" si="8"/>
        <v>Thu</v>
      </c>
      <c r="C304" s="4">
        <v>6275.2</v>
      </c>
      <c r="D304" s="3">
        <v>6922.4400000000005</v>
      </c>
      <c r="E304" s="3">
        <f>C304-D304</f>
        <v>-647.24000000000069</v>
      </c>
      <c r="F304" s="28">
        <f t="shared" si="9"/>
        <v>-9.3498824114040813E-2</v>
      </c>
    </row>
    <row r="305" spans="1:6" x14ac:dyDescent="0.2">
      <c r="A305" s="27">
        <v>45961</v>
      </c>
      <c r="B305" s="15" t="str">
        <f t="shared" si="8"/>
        <v>Fri</v>
      </c>
      <c r="C305" s="4">
        <v>10619</v>
      </c>
      <c r="D305" s="3">
        <v>7780.71</v>
      </c>
      <c r="E305" s="3">
        <f>C305-D305</f>
        <v>2838.29</v>
      </c>
      <c r="F305" s="28">
        <f t="shared" si="9"/>
        <v>0.3647854758755949</v>
      </c>
    </row>
    <row r="306" spans="1:6" x14ac:dyDescent="0.2">
      <c r="A306" s="27">
        <v>45962</v>
      </c>
      <c r="B306" s="15" t="str">
        <f t="shared" si="8"/>
        <v>Sat</v>
      </c>
      <c r="C306" s="4">
        <v>8547</v>
      </c>
      <c r="D306" s="3">
        <v>7546.21</v>
      </c>
      <c r="E306" s="3">
        <f>C306-D306</f>
        <v>1000.79</v>
      </c>
      <c r="F306" s="28">
        <f t="shared" si="9"/>
        <v>0.13262154114449504</v>
      </c>
    </row>
    <row r="307" spans="1:6" x14ac:dyDescent="0.2">
      <c r="A307" s="27">
        <v>45963</v>
      </c>
      <c r="B307" s="15" t="str">
        <f t="shared" si="8"/>
        <v>Sun</v>
      </c>
      <c r="C307" s="4">
        <v>9990</v>
      </c>
      <c r="D307" s="3">
        <v>11762.52</v>
      </c>
      <c r="E307" s="3">
        <f>C307-D307</f>
        <v>-1772.5200000000004</v>
      </c>
      <c r="F307" s="28">
        <f t="shared" si="9"/>
        <v>-0.15069219861050187</v>
      </c>
    </row>
    <row r="308" spans="1:6" x14ac:dyDescent="0.2">
      <c r="A308" s="27">
        <v>45964</v>
      </c>
      <c r="B308" s="15" t="str">
        <f t="shared" si="8"/>
        <v>Mon</v>
      </c>
      <c r="C308" s="4">
        <v>15540</v>
      </c>
      <c r="D308" s="3">
        <v>10899.560000000001</v>
      </c>
      <c r="E308" s="3">
        <f>C308-D308</f>
        <v>4640.4399999999987</v>
      </c>
      <c r="F308" s="28">
        <f t="shared" si="9"/>
        <v>0.42574562642895658</v>
      </c>
    </row>
    <row r="309" spans="1:6" x14ac:dyDescent="0.2">
      <c r="A309" s="27">
        <v>45965</v>
      </c>
      <c r="B309" s="15" t="str">
        <f t="shared" si="8"/>
        <v>Tue</v>
      </c>
      <c r="C309" s="4">
        <v>17945</v>
      </c>
      <c r="D309" s="3">
        <v>15017.380000000001</v>
      </c>
      <c r="E309" s="3">
        <f>C309-D309</f>
        <v>2927.619999999999</v>
      </c>
      <c r="F309" s="28">
        <f t="shared" si="9"/>
        <v>0.19494878600661358</v>
      </c>
    </row>
    <row r="310" spans="1:6" x14ac:dyDescent="0.2">
      <c r="A310" s="27">
        <v>45966</v>
      </c>
      <c r="B310" s="15" t="str">
        <f t="shared" si="8"/>
        <v>Wed</v>
      </c>
      <c r="C310" s="4">
        <v>8480.4</v>
      </c>
      <c r="D310" s="3">
        <v>9867.76</v>
      </c>
      <c r="E310" s="3">
        <f>C310-D310</f>
        <v>-1387.3600000000006</v>
      </c>
      <c r="F310" s="28">
        <f t="shared" si="9"/>
        <v>-0.14059523133923002</v>
      </c>
    </row>
    <row r="311" spans="1:6" x14ac:dyDescent="0.2">
      <c r="A311" s="27">
        <v>45967</v>
      </c>
      <c r="B311" s="15" t="str">
        <f t="shared" si="8"/>
        <v>Thu</v>
      </c>
      <c r="C311" s="4">
        <v>17293.8</v>
      </c>
      <c r="D311" s="3">
        <v>8765.61</v>
      </c>
      <c r="E311" s="3">
        <f>C311-D311</f>
        <v>8528.1899999999987</v>
      </c>
      <c r="F311" s="28">
        <f t="shared" si="9"/>
        <v>0.97291460605707969</v>
      </c>
    </row>
    <row r="312" spans="1:6" x14ac:dyDescent="0.2">
      <c r="A312" s="27">
        <v>45968</v>
      </c>
      <c r="B312" s="15" t="str">
        <f t="shared" si="8"/>
        <v>Fri</v>
      </c>
      <c r="C312" s="4">
        <v>13986</v>
      </c>
      <c r="D312" s="3">
        <v>10993.36</v>
      </c>
      <c r="E312" s="3">
        <f>C312-D312</f>
        <v>2992.6399999999994</v>
      </c>
      <c r="F312" s="28">
        <f t="shared" si="9"/>
        <v>0.27222250522133351</v>
      </c>
    </row>
    <row r="313" spans="1:6" x14ac:dyDescent="0.2">
      <c r="A313" s="27">
        <v>45969</v>
      </c>
      <c r="B313" s="15" t="str">
        <f t="shared" si="8"/>
        <v>Sat</v>
      </c>
      <c r="C313" s="4">
        <v>9042.7999999999993</v>
      </c>
      <c r="D313" s="3">
        <v>16724.54</v>
      </c>
      <c r="E313" s="3">
        <f>C313-D313</f>
        <v>-7681.7400000000016</v>
      </c>
      <c r="F313" s="28">
        <f t="shared" si="9"/>
        <v>-0.45930949371402746</v>
      </c>
    </row>
    <row r="314" spans="1:6" x14ac:dyDescent="0.2">
      <c r="A314" s="27">
        <v>45970</v>
      </c>
      <c r="B314" s="15" t="str">
        <f t="shared" si="8"/>
        <v>Sun</v>
      </c>
      <c r="C314" s="4">
        <v>15939.6</v>
      </c>
      <c r="D314" s="3">
        <v>8714.02</v>
      </c>
      <c r="E314" s="3">
        <f>C314-D314</f>
        <v>7225.58</v>
      </c>
      <c r="F314" s="28">
        <f t="shared" si="9"/>
        <v>0.82919020153729273</v>
      </c>
    </row>
    <row r="315" spans="1:6" x14ac:dyDescent="0.2">
      <c r="A315" s="27">
        <v>45971</v>
      </c>
      <c r="B315" s="15" t="str">
        <f t="shared" si="8"/>
        <v>Mon</v>
      </c>
      <c r="C315" s="4">
        <v>25441.199999999997</v>
      </c>
      <c r="D315" s="3">
        <v>9459.7300000000014</v>
      </c>
      <c r="E315" s="3">
        <f>C315-D315</f>
        <v>15981.469999999996</v>
      </c>
      <c r="F315" s="28">
        <f t="shared" si="9"/>
        <v>1.6894213682631527</v>
      </c>
    </row>
    <row r="316" spans="1:6" x14ac:dyDescent="0.2">
      <c r="A316" s="27">
        <v>45972</v>
      </c>
      <c r="B316" s="15" t="str">
        <f t="shared" si="8"/>
        <v>Tue</v>
      </c>
      <c r="C316" s="4">
        <v>21119.599999999999</v>
      </c>
      <c r="D316" s="3">
        <v>18539.57</v>
      </c>
      <c r="E316" s="3">
        <f>C316-D316</f>
        <v>2580.0299999999988</v>
      </c>
      <c r="F316" s="28">
        <f t="shared" si="9"/>
        <v>0.13916342180536004</v>
      </c>
    </row>
    <row r="317" spans="1:6" x14ac:dyDescent="0.2">
      <c r="A317" s="27">
        <v>45973</v>
      </c>
      <c r="B317" s="15" t="str">
        <f t="shared" si="8"/>
        <v>Wed</v>
      </c>
      <c r="C317" s="4">
        <v>15806.399999999998</v>
      </c>
      <c r="D317" s="3">
        <v>8704.64</v>
      </c>
      <c r="E317" s="3">
        <f>C317-D317</f>
        <v>7101.7599999999984</v>
      </c>
      <c r="F317" s="28">
        <f t="shared" si="9"/>
        <v>0.81585912800529359</v>
      </c>
    </row>
    <row r="318" spans="1:6" x14ac:dyDescent="0.2">
      <c r="A318" s="27">
        <v>45974</v>
      </c>
      <c r="B318" s="15" t="str">
        <f t="shared" si="8"/>
        <v>Thu</v>
      </c>
      <c r="C318" s="4">
        <v>11662.4</v>
      </c>
      <c r="D318" s="3">
        <v>18975.740000000002</v>
      </c>
      <c r="E318" s="3">
        <f>C318-D318</f>
        <v>-7313.340000000002</v>
      </c>
      <c r="F318" s="28">
        <f t="shared" si="9"/>
        <v>-0.38540473256905933</v>
      </c>
    </row>
    <row r="319" spans="1:6" x14ac:dyDescent="0.2">
      <c r="A319" s="27">
        <v>45975</v>
      </c>
      <c r="B319" s="15" t="str">
        <f t="shared" si="8"/>
        <v>Fri</v>
      </c>
      <c r="C319" s="4">
        <v>13986</v>
      </c>
      <c r="D319" s="3">
        <v>14009.03</v>
      </c>
      <c r="E319" s="3">
        <f>C319-D319</f>
        <v>-23.030000000000655</v>
      </c>
      <c r="F319" s="28">
        <f t="shared" si="9"/>
        <v>-1.6439396589200432E-3</v>
      </c>
    </row>
    <row r="320" spans="1:6" x14ac:dyDescent="0.2">
      <c r="A320" s="27">
        <v>45976</v>
      </c>
      <c r="B320" s="15" t="str">
        <f t="shared" si="8"/>
        <v>Sat</v>
      </c>
      <c r="C320" s="4">
        <v>22584.799999999999</v>
      </c>
      <c r="D320" s="3">
        <v>17043.460000000003</v>
      </c>
      <c r="E320" s="3">
        <f>C320-D320</f>
        <v>5541.3399999999965</v>
      </c>
      <c r="F320" s="28">
        <f t="shared" si="9"/>
        <v>0.32512999121070463</v>
      </c>
    </row>
    <row r="321" spans="1:6" x14ac:dyDescent="0.2">
      <c r="A321" s="27">
        <v>45977</v>
      </c>
      <c r="B321" s="15" t="str">
        <f t="shared" si="8"/>
        <v>Sun</v>
      </c>
      <c r="C321" s="4">
        <v>11640.2</v>
      </c>
      <c r="D321" s="3">
        <v>14276.36</v>
      </c>
      <c r="E321" s="3">
        <f>C321-D321</f>
        <v>-2636.16</v>
      </c>
      <c r="F321" s="28">
        <f t="shared" si="9"/>
        <v>-0.18465211020176009</v>
      </c>
    </row>
    <row r="322" spans="1:6" x14ac:dyDescent="0.2">
      <c r="A322" s="27">
        <v>45978</v>
      </c>
      <c r="B322" s="15" t="str">
        <f t="shared" si="8"/>
        <v>Mon</v>
      </c>
      <c r="C322" s="4">
        <v>22977</v>
      </c>
      <c r="D322" s="3">
        <v>20626.620000000003</v>
      </c>
      <c r="E322" s="3">
        <f>C322-D322</f>
        <v>2350.3799999999974</v>
      </c>
      <c r="F322" s="28">
        <f t="shared" si="9"/>
        <v>0.11394886801618477</v>
      </c>
    </row>
    <row r="323" spans="1:6" x14ac:dyDescent="0.2">
      <c r="A323" s="27">
        <v>45979</v>
      </c>
      <c r="B323" s="15" t="str">
        <f t="shared" ref="B323:B366" si="10">TEXT(A323,"ddd")</f>
        <v>Tue</v>
      </c>
      <c r="C323" s="4">
        <v>29119</v>
      </c>
      <c r="D323" s="3">
        <v>24688.16</v>
      </c>
      <c r="E323" s="3">
        <f>C323-D323</f>
        <v>4430.84</v>
      </c>
      <c r="F323" s="28">
        <f t="shared" ref="F323:F366" si="11">IF(D323=0,0,(C323-D323)/D323)</f>
        <v>0.17947226524779489</v>
      </c>
    </row>
    <row r="324" spans="1:6" x14ac:dyDescent="0.2">
      <c r="A324" s="27">
        <v>45980</v>
      </c>
      <c r="B324" s="15" t="str">
        <f t="shared" si="10"/>
        <v>Wed</v>
      </c>
      <c r="C324" s="4">
        <v>17619.400000000001</v>
      </c>
      <c r="D324" s="3">
        <v>12541.060000000001</v>
      </c>
      <c r="E324" s="3">
        <f>C324-D324</f>
        <v>5078.34</v>
      </c>
      <c r="F324" s="28">
        <f t="shared" si="11"/>
        <v>0.40493706273632368</v>
      </c>
    </row>
    <row r="325" spans="1:6" x14ac:dyDescent="0.2">
      <c r="A325" s="27">
        <v>45981</v>
      </c>
      <c r="B325" s="15" t="str">
        <f t="shared" si="10"/>
        <v>Thu</v>
      </c>
      <c r="C325" s="4">
        <v>46886.400000000001</v>
      </c>
      <c r="D325" s="3">
        <v>36572.620000000003</v>
      </c>
      <c r="E325" s="3">
        <f>C325-D325</f>
        <v>10313.779999999999</v>
      </c>
      <c r="F325" s="28">
        <f t="shared" si="11"/>
        <v>0.28200823457548291</v>
      </c>
    </row>
    <row r="326" spans="1:6" x14ac:dyDescent="0.2">
      <c r="A326" s="27">
        <v>45982</v>
      </c>
      <c r="B326" s="15" t="str">
        <f t="shared" si="10"/>
        <v>Fri</v>
      </c>
      <c r="C326" s="4">
        <v>29674</v>
      </c>
      <c r="D326" s="3">
        <v>15894.41</v>
      </c>
      <c r="E326" s="3">
        <f>C326-D326</f>
        <v>13779.59</v>
      </c>
      <c r="F326" s="28">
        <f t="shared" si="11"/>
        <v>0.86694567461138849</v>
      </c>
    </row>
    <row r="327" spans="1:6" x14ac:dyDescent="0.2">
      <c r="A327" s="27">
        <v>45983</v>
      </c>
      <c r="B327" s="15" t="str">
        <f t="shared" si="10"/>
        <v>Sat</v>
      </c>
      <c r="C327" s="4">
        <v>28364.2</v>
      </c>
      <c r="D327" s="3">
        <v>0</v>
      </c>
      <c r="E327" s="3">
        <f>C327-D327</f>
        <v>28364.2</v>
      </c>
      <c r="F327" s="28">
        <f t="shared" si="11"/>
        <v>0</v>
      </c>
    </row>
    <row r="328" spans="1:6" x14ac:dyDescent="0.2">
      <c r="A328" s="27">
        <v>45984</v>
      </c>
      <c r="B328" s="15" t="str">
        <f t="shared" si="10"/>
        <v>Sun</v>
      </c>
      <c r="C328" s="4">
        <v>0</v>
      </c>
      <c r="D328" s="3">
        <v>8502.9700000000012</v>
      </c>
      <c r="E328" s="3">
        <f>C328-D328</f>
        <v>-8502.9700000000012</v>
      </c>
      <c r="F328" s="28">
        <f t="shared" si="11"/>
        <v>-1</v>
      </c>
    </row>
    <row r="329" spans="1:6" x14ac:dyDescent="0.2">
      <c r="A329" s="27">
        <v>45985</v>
      </c>
      <c r="B329" s="15" t="str">
        <f t="shared" si="10"/>
        <v>Mon</v>
      </c>
      <c r="C329" s="4">
        <v>11788.199999999999</v>
      </c>
      <c r="D329" s="3">
        <v>7166.3200000000006</v>
      </c>
      <c r="E329" s="3">
        <f>C329-D329</f>
        <v>4621.8799999999983</v>
      </c>
      <c r="F329" s="28">
        <f t="shared" si="11"/>
        <v>0.64494468569642405</v>
      </c>
    </row>
    <row r="330" spans="1:6" x14ac:dyDescent="0.2">
      <c r="A330" s="27">
        <v>45986</v>
      </c>
      <c r="B330" s="15" t="str">
        <f t="shared" si="10"/>
        <v>Tue</v>
      </c>
      <c r="C330" s="4">
        <v>8917</v>
      </c>
      <c r="D330" s="3">
        <v>12606.720000000001</v>
      </c>
      <c r="E330" s="3">
        <f>C330-D330</f>
        <v>-3689.7200000000012</v>
      </c>
      <c r="F330" s="28">
        <f t="shared" si="11"/>
        <v>-0.29267882526144795</v>
      </c>
    </row>
    <row r="331" spans="1:6" x14ac:dyDescent="0.2">
      <c r="A331" s="27">
        <v>45987</v>
      </c>
      <c r="B331" s="15" t="str">
        <f t="shared" si="10"/>
        <v>Wed</v>
      </c>
      <c r="C331" s="4">
        <v>8635.8000000000011</v>
      </c>
      <c r="D331" s="3">
        <v>6312.7400000000007</v>
      </c>
      <c r="E331" s="3">
        <f>C331-D331</f>
        <v>2323.0600000000004</v>
      </c>
      <c r="F331" s="28">
        <f t="shared" si="11"/>
        <v>0.36799551383392953</v>
      </c>
    </row>
    <row r="332" spans="1:6" x14ac:dyDescent="0.2">
      <c r="A332" s="27">
        <v>45988</v>
      </c>
      <c r="B332" s="15" t="str">
        <f t="shared" si="10"/>
        <v>Thu</v>
      </c>
      <c r="C332" s="4">
        <v>13408.8</v>
      </c>
      <c r="D332" s="3">
        <v>7044.38</v>
      </c>
      <c r="E332" s="3">
        <f>C332-D332</f>
        <v>6364.4199999999992</v>
      </c>
      <c r="F332" s="28">
        <f t="shared" si="11"/>
        <v>0.90347482674131707</v>
      </c>
    </row>
    <row r="333" spans="1:6" x14ac:dyDescent="0.2">
      <c r="A333" s="27">
        <v>45989</v>
      </c>
      <c r="B333" s="15" t="str">
        <f t="shared" si="10"/>
        <v>Fri</v>
      </c>
      <c r="C333" s="4">
        <v>15022</v>
      </c>
      <c r="D333" s="3">
        <v>6636.35</v>
      </c>
      <c r="E333" s="3">
        <f>C333-D333</f>
        <v>8385.65</v>
      </c>
      <c r="F333" s="28">
        <f t="shared" si="11"/>
        <v>1.263593692315806</v>
      </c>
    </row>
    <row r="334" spans="1:6" x14ac:dyDescent="0.2">
      <c r="A334" s="27">
        <v>45990</v>
      </c>
      <c r="B334" s="15" t="str">
        <f t="shared" si="10"/>
        <v>Sat</v>
      </c>
      <c r="C334" s="4">
        <v>12883.4</v>
      </c>
      <c r="D334" s="3">
        <v>18220.650000000001</v>
      </c>
      <c r="E334" s="3">
        <f>C334-D334</f>
        <v>-5337.2500000000018</v>
      </c>
      <c r="F334" s="28">
        <f t="shared" si="11"/>
        <v>-0.2929231394050158</v>
      </c>
    </row>
    <row r="335" spans="1:6" x14ac:dyDescent="0.2">
      <c r="A335" s="27">
        <v>45991</v>
      </c>
      <c r="B335" s="15" t="str">
        <f t="shared" si="10"/>
        <v>Sun</v>
      </c>
      <c r="C335" s="4">
        <v>18714.599999999999</v>
      </c>
      <c r="D335" s="3">
        <v>10810.45</v>
      </c>
      <c r="E335" s="3">
        <f>C335-D335</f>
        <v>7904.1499999999978</v>
      </c>
      <c r="F335" s="28">
        <f t="shared" si="11"/>
        <v>0.73115827740750827</v>
      </c>
    </row>
    <row r="336" spans="1:6" x14ac:dyDescent="0.2">
      <c r="A336" s="27">
        <v>45992</v>
      </c>
      <c r="B336" s="15" t="str">
        <f t="shared" si="10"/>
        <v>Mon</v>
      </c>
      <c r="C336" s="4">
        <v>22666.199999999997</v>
      </c>
      <c r="D336" s="3">
        <v>9970.94</v>
      </c>
      <c r="E336" s="3">
        <f>C336-D336</f>
        <v>12695.259999999997</v>
      </c>
      <c r="F336" s="28">
        <f t="shared" si="11"/>
        <v>1.2732259947407161</v>
      </c>
    </row>
    <row r="337" spans="1:6" x14ac:dyDescent="0.2">
      <c r="A337" s="27">
        <v>45993</v>
      </c>
      <c r="B337" s="15" t="str">
        <f t="shared" si="10"/>
        <v>Tue</v>
      </c>
      <c r="C337" s="4">
        <v>15318</v>
      </c>
      <c r="D337" s="3">
        <v>6730.1500000000005</v>
      </c>
      <c r="E337" s="3">
        <f>C337-D337</f>
        <v>8587.8499999999985</v>
      </c>
      <c r="F337" s="28">
        <f t="shared" si="11"/>
        <v>1.276026537298574</v>
      </c>
    </row>
    <row r="338" spans="1:6" x14ac:dyDescent="0.2">
      <c r="A338" s="27">
        <v>45994</v>
      </c>
      <c r="B338" s="15" t="str">
        <f t="shared" si="10"/>
        <v>Wed</v>
      </c>
      <c r="C338" s="4">
        <v>7644.2</v>
      </c>
      <c r="D338" s="3">
        <v>4446.1200000000008</v>
      </c>
      <c r="E338" s="3">
        <f>C338-D338</f>
        <v>3198.079999999999</v>
      </c>
      <c r="F338" s="28">
        <f t="shared" si="11"/>
        <v>0.71929682509693815</v>
      </c>
    </row>
    <row r="339" spans="1:6" x14ac:dyDescent="0.2">
      <c r="A339" s="27">
        <v>45995</v>
      </c>
      <c r="B339" s="15" t="str">
        <f t="shared" si="10"/>
        <v>Thu</v>
      </c>
      <c r="C339" s="4">
        <v>4121.8</v>
      </c>
      <c r="D339" s="3">
        <v>8352.89</v>
      </c>
      <c r="E339" s="3">
        <f>C339-D339</f>
        <v>-4231.0899999999992</v>
      </c>
      <c r="F339" s="28">
        <f t="shared" si="11"/>
        <v>-0.50654204712380979</v>
      </c>
    </row>
    <row r="340" spans="1:6" x14ac:dyDescent="0.2">
      <c r="A340" s="27">
        <v>45996</v>
      </c>
      <c r="B340" s="15" t="str">
        <f t="shared" si="10"/>
        <v>Fri</v>
      </c>
      <c r="C340" s="4">
        <v>10626.400000000001</v>
      </c>
      <c r="D340" s="3">
        <v>7555.5900000000011</v>
      </c>
      <c r="E340" s="3">
        <f>C340-D340</f>
        <v>3070.8100000000004</v>
      </c>
      <c r="F340" s="28">
        <f t="shared" si="11"/>
        <v>0.40642888245656528</v>
      </c>
    </row>
    <row r="341" spans="1:6" x14ac:dyDescent="0.2">
      <c r="A341" s="27">
        <v>45997</v>
      </c>
      <c r="B341" s="15" t="str">
        <f t="shared" si="10"/>
        <v>Sat</v>
      </c>
      <c r="C341" s="4">
        <v>8036.4</v>
      </c>
      <c r="D341" s="3">
        <v>2837.4500000000003</v>
      </c>
      <c r="E341" s="3">
        <f>C341-D341</f>
        <v>5198.9499999999989</v>
      </c>
      <c r="F341" s="28">
        <f t="shared" si="11"/>
        <v>1.8322613614336811</v>
      </c>
    </row>
    <row r="342" spans="1:6" x14ac:dyDescent="0.2">
      <c r="A342" s="27">
        <v>45998</v>
      </c>
      <c r="B342" s="15" t="str">
        <f t="shared" si="10"/>
        <v>Sun</v>
      </c>
      <c r="C342" s="4">
        <v>3448.3999999999996</v>
      </c>
      <c r="D342" s="3">
        <v>7307.02</v>
      </c>
      <c r="E342" s="3">
        <f>C342-D342</f>
        <v>-3858.6200000000008</v>
      </c>
      <c r="F342" s="28">
        <f t="shared" si="11"/>
        <v>-0.52807026667506052</v>
      </c>
    </row>
    <row r="343" spans="1:6" x14ac:dyDescent="0.2">
      <c r="A343" s="27">
        <v>45999</v>
      </c>
      <c r="B343" s="15" t="str">
        <f t="shared" si="10"/>
        <v>Mon</v>
      </c>
      <c r="C343" s="4">
        <v>9131.6</v>
      </c>
      <c r="D343" s="3">
        <v>11363.87</v>
      </c>
      <c r="E343" s="3">
        <f>C343-D343</f>
        <v>-2232.2700000000004</v>
      </c>
      <c r="F343" s="28">
        <f t="shared" si="11"/>
        <v>-0.19643572128157047</v>
      </c>
    </row>
    <row r="344" spans="1:6" x14ac:dyDescent="0.2">
      <c r="A344" s="27">
        <v>46000</v>
      </c>
      <c r="B344" s="15" t="str">
        <f t="shared" si="10"/>
        <v>Tue</v>
      </c>
      <c r="C344" s="4">
        <v>22666.199999999997</v>
      </c>
      <c r="D344" s="3">
        <v>8113.7000000000007</v>
      </c>
      <c r="E344" s="3">
        <f>C344-D344</f>
        <v>14552.499999999996</v>
      </c>
      <c r="F344" s="28">
        <f t="shared" si="11"/>
        <v>1.7935713669472615</v>
      </c>
    </row>
    <row r="345" spans="1:6" x14ac:dyDescent="0.2">
      <c r="A345" s="27">
        <v>46001</v>
      </c>
      <c r="B345" s="15" t="str">
        <f t="shared" si="10"/>
        <v>Wed</v>
      </c>
      <c r="C345" s="4">
        <v>8991</v>
      </c>
      <c r="D345" s="3">
        <v>4497.7100000000009</v>
      </c>
      <c r="E345" s="3">
        <f>C345-D345</f>
        <v>4493.2899999999991</v>
      </c>
      <c r="F345" s="28">
        <f t="shared" si="11"/>
        <v>0.99901727768130855</v>
      </c>
    </row>
    <row r="346" spans="1:6" x14ac:dyDescent="0.2">
      <c r="A346" s="27">
        <v>46002</v>
      </c>
      <c r="B346" s="15" t="str">
        <f t="shared" si="10"/>
        <v>Thu</v>
      </c>
      <c r="C346" s="4">
        <v>8014.2</v>
      </c>
      <c r="D346" s="3">
        <v>1027.1100000000001</v>
      </c>
      <c r="E346" s="3">
        <f>C346-D346</f>
        <v>6987.09</v>
      </c>
      <c r="F346" s="28">
        <f t="shared" si="11"/>
        <v>6.8026696264275488</v>
      </c>
    </row>
    <row r="347" spans="1:6" x14ac:dyDescent="0.2">
      <c r="A347" s="27">
        <v>46003</v>
      </c>
      <c r="B347" s="15" t="str">
        <f t="shared" si="10"/>
        <v>Fri</v>
      </c>
      <c r="C347" s="4">
        <v>12358</v>
      </c>
      <c r="D347" s="3">
        <v>6795.81</v>
      </c>
      <c r="E347" s="3">
        <f>C347-D347</f>
        <v>5562.19</v>
      </c>
      <c r="F347" s="28">
        <f t="shared" si="11"/>
        <v>0.81847344172365022</v>
      </c>
    </row>
    <row r="348" spans="1:6" x14ac:dyDescent="0.2">
      <c r="A348" s="27">
        <v>46004</v>
      </c>
      <c r="B348" s="15" t="str">
        <f t="shared" si="10"/>
        <v>Sat</v>
      </c>
      <c r="C348" s="4">
        <v>11203.599999999999</v>
      </c>
      <c r="D348" s="3">
        <v>3311.1400000000003</v>
      </c>
      <c r="E348" s="3">
        <f>C348-D348</f>
        <v>7892.4599999999982</v>
      </c>
      <c r="F348" s="28">
        <f t="shared" si="11"/>
        <v>2.3836080624799911</v>
      </c>
    </row>
    <row r="349" spans="1:6" x14ac:dyDescent="0.2">
      <c r="A349" s="27">
        <v>46005</v>
      </c>
      <c r="B349" s="15" t="str">
        <f t="shared" si="10"/>
        <v>Sun</v>
      </c>
      <c r="C349" s="4">
        <v>8695</v>
      </c>
      <c r="D349" s="3">
        <v>7100.6600000000008</v>
      </c>
      <c r="E349" s="3">
        <f>C349-D349</f>
        <v>1594.3399999999992</v>
      </c>
      <c r="F349" s="28">
        <f t="shared" si="11"/>
        <v>0.22453405739748122</v>
      </c>
    </row>
    <row r="350" spans="1:6" x14ac:dyDescent="0.2">
      <c r="A350" s="27">
        <v>46006</v>
      </c>
      <c r="B350" s="15" t="str">
        <f t="shared" si="10"/>
        <v>Mon</v>
      </c>
      <c r="C350" s="4">
        <v>11440.4</v>
      </c>
      <c r="D350" s="3">
        <v>4310.1100000000006</v>
      </c>
      <c r="E350" s="3">
        <f>C350-D350</f>
        <v>7130.2899999999991</v>
      </c>
      <c r="F350" s="28">
        <f t="shared" si="11"/>
        <v>1.6543174072123445</v>
      </c>
    </row>
    <row r="351" spans="1:6" x14ac:dyDescent="0.2">
      <c r="A351" s="27">
        <v>46007</v>
      </c>
      <c r="B351" s="15" t="str">
        <f t="shared" si="10"/>
        <v>Tue</v>
      </c>
      <c r="C351" s="4">
        <v>20105.8</v>
      </c>
      <c r="D351" s="3">
        <v>8535.8000000000011</v>
      </c>
      <c r="E351" s="3">
        <f>C351-D351</f>
        <v>11569.999999999998</v>
      </c>
      <c r="F351" s="28">
        <f t="shared" si="11"/>
        <v>1.3554675601583914</v>
      </c>
    </row>
    <row r="352" spans="1:6" x14ac:dyDescent="0.2">
      <c r="A352" s="27">
        <v>46008</v>
      </c>
      <c r="B352" s="15" t="str">
        <f t="shared" si="10"/>
        <v>Wed</v>
      </c>
      <c r="C352" s="4">
        <v>8162.2000000000007</v>
      </c>
      <c r="D352" s="3">
        <v>3268.9300000000003</v>
      </c>
      <c r="E352" s="3">
        <f>C352-D352</f>
        <v>4893.2700000000004</v>
      </c>
      <c r="F352" s="28">
        <f t="shared" si="11"/>
        <v>1.496902656220843</v>
      </c>
    </row>
    <row r="353" spans="1:10" x14ac:dyDescent="0.2">
      <c r="A353" s="27">
        <v>46009</v>
      </c>
      <c r="B353" s="15" t="str">
        <f t="shared" si="10"/>
        <v>Thu</v>
      </c>
      <c r="C353" s="4">
        <v>9057.6</v>
      </c>
      <c r="D353" s="3">
        <v>7504</v>
      </c>
      <c r="E353" s="3">
        <f>C353-D353</f>
        <v>1553.6000000000004</v>
      </c>
      <c r="F353" s="28">
        <f t="shared" si="11"/>
        <v>0.20703624733475484</v>
      </c>
    </row>
    <row r="354" spans="1:10" x14ac:dyDescent="0.2">
      <c r="A354" s="27">
        <v>46010</v>
      </c>
      <c r="B354" s="15" t="str">
        <f t="shared" si="10"/>
        <v>Fri</v>
      </c>
      <c r="C354" s="4">
        <v>9176</v>
      </c>
      <c r="D354" s="3">
        <v>4117.82</v>
      </c>
      <c r="E354" s="3">
        <f>C354-D354</f>
        <v>5058.18</v>
      </c>
      <c r="F354" s="28">
        <f t="shared" si="11"/>
        <v>1.2283635515879763</v>
      </c>
    </row>
    <row r="355" spans="1:10" x14ac:dyDescent="0.2">
      <c r="A355" s="27">
        <v>46011</v>
      </c>
      <c r="B355" s="15" t="str">
        <f t="shared" si="10"/>
        <v>Sat</v>
      </c>
      <c r="C355" s="4">
        <v>11211</v>
      </c>
      <c r="D355" s="3">
        <v>6861.47</v>
      </c>
      <c r="E355" s="3">
        <f>C355-D355</f>
        <v>4349.53</v>
      </c>
      <c r="F355" s="28">
        <f t="shared" si="11"/>
        <v>0.63390643695884408</v>
      </c>
    </row>
    <row r="356" spans="1:10" x14ac:dyDescent="0.2">
      <c r="A356" s="27">
        <v>46012</v>
      </c>
      <c r="B356" s="15" t="str">
        <f t="shared" si="10"/>
        <v>Sun</v>
      </c>
      <c r="C356" s="4">
        <v>13379.2</v>
      </c>
      <c r="D356" s="3">
        <v>4774.42</v>
      </c>
      <c r="E356" s="3">
        <f>C356-D356</f>
        <v>8604.7800000000007</v>
      </c>
      <c r="F356" s="28">
        <f t="shared" si="11"/>
        <v>1.8022670816559918</v>
      </c>
    </row>
    <row r="357" spans="1:10" x14ac:dyDescent="0.2">
      <c r="A357" s="27">
        <v>46013</v>
      </c>
      <c r="B357" s="15" t="str">
        <f t="shared" si="10"/>
        <v>Mon</v>
      </c>
      <c r="C357" s="4">
        <v>10278.599999999999</v>
      </c>
      <c r="D357" s="3">
        <v>3212.6500000000005</v>
      </c>
      <c r="E357" s="3">
        <f>C357-D357</f>
        <v>7065.949999999998</v>
      </c>
      <c r="F357" s="28">
        <f t="shared" si="11"/>
        <v>2.1994148133161087</v>
      </c>
    </row>
    <row r="358" spans="1:10" x14ac:dyDescent="0.2">
      <c r="A358" s="27">
        <v>46014</v>
      </c>
      <c r="B358" s="15" t="str">
        <f t="shared" si="10"/>
        <v>Tue</v>
      </c>
      <c r="C358" s="4">
        <v>23613.4</v>
      </c>
      <c r="D358" s="3">
        <v>7400.82</v>
      </c>
      <c r="E358" s="3">
        <f>C358-D358</f>
        <v>16212.580000000002</v>
      </c>
      <c r="F358" s="28">
        <f t="shared" si="11"/>
        <v>2.190646441880765</v>
      </c>
    </row>
    <row r="359" spans="1:10" x14ac:dyDescent="0.2">
      <c r="A359" s="27">
        <v>46015</v>
      </c>
      <c r="B359" s="15" t="str">
        <f t="shared" si="10"/>
        <v>Wed</v>
      </c>
      <c r="C359" s="4">
        <v>3966.3999999999996</v>
      </c>
      <c r="D359" s="3">
        <v>3025.05</v>
      </c>
      <c r="E359" s="3">
        <f>C359-D359</f>
        <v>941.34999999999945</v>
      </c>
      <c r="F359" s="28">
        <f t="shared" si="11"/>
        <v>0.31118493909191564</v>
      </c>
    </row>
    <row r="360" spans="1:10" x14ac:dyDescent="0.2">
      <c r="A360" s="27">
        <v>46016</v>
      </c>
      <c r="B360" s="15" t="str">
        <f t="shared" si="10"/>
        <v>Thu</v>
      </c>
      <c r="C360" s="4">
        <v>10989</v>
      </c>
      <c r="D360" s="3">
        <v>3390.8700000000003</v>
      </c>
      <c r="E360" s="3">
        <f>C360-D360</f>
        <v>7598.1299999999992</v>
      </c>
      <c r="F360" s="28">
        <f t="shared" si="11"/>
        <v>2.2407612205717111</v>
      </c>
    </row>
    <row r="361" spans="1:10" x14ac:dyDescent="0.2">
      <c r="A361" s="27">
        <v>46017</v>
      </c>
      <c r="B361" s="15" t="str">
        <f t="shared" si="10"/>
        <v>Fri</v>
      </c>
      <c r="C361" s="4">
        <v>2419.7999999999997</v>
      </c>
      <c r="D361" s="3">
        <v>7508.6900000000005</v>
      </c>
      <c r="E361" s="3">
        <f>C361-D361</f>
        <v>-5088.8900000000012</v>
      </c>
      <c r="F361" s="28">
        <f t="shared" si="11"/>
        <v>-0.67773339956770096</v>
      </c>
    </row>
    <row r="362" spans="1:10" x14ac:dyDescent="0.2">
      <c r="A362" s="27">
        <v>46018</v>
      </c>
      <c r="B362" s="15" t="str">
        <f t="shared" si="10"/>
        <v>Sat</v>
      </c>
      <c r="C362" s="4">
        <v>11462.6</v>
      </c>
      <c r="D362" s="3">
        <v>4816.63</v>
      </c>
      <c r="E362" s="3">
        <f>C362-D362</f>
        <v>6645.97</v>
      </c>
      <c r="F362" s="28">
        <f t="shared" si="11"/>
        <v>1.379796662811966</v>
      </c>
    </row>
    <row r="363" spans="1:10" x14ac:dyDescent="0.2">
      <c r="A363" s="27">
        <v>46019</v>
      </c>
      <c r="B363" s="15" t="str">
        <f t="shared" si="10"/>
        <v>Sun</v>
      </c>
      <c r="C363" s="4">
        <v>1598.4</v>
      </c>
      <c r="D363" s="3">
        <v>4807.25</v>
      </c>
      <c r="E363" s="3">
        <f>C363-D363</f>
        <v>-3208.85</v>
      </c>
      <c r="F363" s="28">
        <f t="shared" si="11"/>
        <v>-0.66750221020333866</v>
      </c>
    </row>
    <row r="364" spans="1:10" x14ac:dyDescent="0.2">
      <c r="A364" s="27">
        <v>46020</v>
      </c>
      <c r="B364" s="15" t="str">
        <f t="shared" si="10"/>
        <v>Mon</v>
      </c>
      <c r="C364" s="4">
        <v>9316.6</v>
      </c>
      <c r="D364" s="3">
        <v>4042.7800000000007</v>
      </c>
      <c r="E364" s="3">
        <f>C364-D364</f>
        <v>5273.82</v>
      </c>
      <c r="F364" s="28">
        <f t="shared" si="11"/>
        <v>1.304503336812787</v>
      </c>
    </row>
    <row r="365" spans="1:10" x14ac:dyDescent="0.2">
      <c r="A365" s="27">
        <v>46021</v>
      </c>
      <c r="B365" s="15" t="str">
        <f t="shared" si="10"/>
        <v>Tue</v>
      </c>
      <c r="C365" s="4">
        <v>9753.1999999999989</v>
      </c>
      <c r="D365" s="3">
        <v>9647.33</v>
      </c>
      <c r="E365" s="3">
        <f>C365-D365</f>
        <v>105.86999999999898</v>
      </c>
      <c r="F365" s="28">
        <f t="shared" si="11"/>
        <v>1.0974020791244725E-2</v>
      </c>
    </row>
    <row r="366" spans="1:10" ht="15.75" thickBot="1" x14ac:dyDescent="0.25">
      <c r="A366" s="27">
        <v>46022</v>
      </c>
      <c r="B366" s="15" t="str">
        <f t="shared" si="10"/>
        <v>Wed</v>
      </c>
      <c r="C366" s="18">
        <v>20128</v>
      </c>
      <c r="D366" s="19">
        <v>20471.850000000002</v>
      </c>
      <c r="E366" s="20">
        <f>C366-D366</f>
        <v>-343.85000000000218</v>
      </c>
      <c r="F366" s="29">
        <f t="shared" si="11"/>
        <v>-1.6796234829778555E-2</v>
      </c>
      <c r="G366" s="34"/>
      <c r="H366" s="21"/>
      <c r="I366" s="21"/>
      <c r="J366" s="21"/>
    </row>
    <row r="367" spans="1:10" ht="15.75" thickBot="1" x14ac:dyDescent="0.25">
      <c r="A367" s="30"/>
      <c r="B367" s="31"/>
      <c r="C367" s="32">
        <f>SUM(C2:C366)</f>
        <v>3522710.8000000003</v>
      </c>
      <c r="D367" s="32">
        <f>SUM(D2:D366)</f>
        <v>2471395.4999999995</v>
      </c>
      <c r="E367" s="32">
        <f>SUM(E2:E366)</f>
        <v>1051315.3</v>
      </c>
      <c r="F367" s="33">
        <f>AVERAGE(F2:F366)</f>
        <v>0.87048968222226597</v>
      </c>
      <c r="G367" s="35"/>
      <c r="H367" s="22"/>
      <c r="I367" s="22"/>
      <c r="J367" s="22"/>
    </row>
    <row r="368" spans="1:10" x14ac:dyDescent="0.2">
      <c r="G368" s="22"/>
      <c r="H368" s="22"/>
      <c r="I368" s="22"/>
      <c r="J368" s="2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2026-03-29T05:03:25Z</dcterms:created>
  <dcterms:modified xsi:type="dcterms:W3CDTF">2026-04-04T15:57:10Z</dcterms:modified>
  <cp:category/>
  <cp:contentStatus/>
</cp:coreProperties>
</file>